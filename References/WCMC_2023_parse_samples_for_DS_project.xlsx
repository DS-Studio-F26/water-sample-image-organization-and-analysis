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hanahlgren/Documents/Clark/Research/WCMC/"/>
    </mc:Choice>
  </mc:AlternateContent>
  <xr:revisionPtr revIDLastSave="0" documentId="8_{69496642-4FDB-42D0-AC5D-B368DE487DC4}" xr6:coauthVersionLast="47" xr6:coauthVersionMax="47" xr10:uidLastSave="{00000000-0000-0000-0000-000000000000}"/>
  <bookViews>
    <workbookView xWindow="1940" yWindow="1820" windowWidth="27200" windowHeight="16440" firstSheet="4" activeTab="4" xr2:uid="{1DB303FE-0C0C-A24C-AC3F-0374B5F6248A}"/>
  </bookViews>
  <sheets>
    <sheet name="env data" sheetId="1" r:id="rId1"/>
    <sheet name="cyano dominance" sheetId="2" r:id="rId2"/>
    <sheet name="Pond name mapping" sheetId="5" r:id="rId3"/>
    <sheet name="folder names img count cmds" sheetId="4" r:id="rId4"/>
    <sheet name="match 9.16 ...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5" i="2" l="1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G651" i="4"/>
  <c r="I651" i="4" s="1"/>
  <c r="G650" i="4"/>
  <c r="I650" i="4" s="1"/>
  <c r="G649" i="4"/>
  <c r="I649" i="4" s="1"/>
  <c r="G648" i="4"/>
  <c r="I648" i="4" s="1"/>
  <c r="G647" i="4"/>
  <c r="I647" i="4" s="1"/>
  <c r="G646" i="4"/>
  <c r="I646" i="4" s="1"/>
  <c r="G645" i="4"/>
  <c r="I645" i="4" s="1"/>
  <c r="G644" i="4"/>
  <c r="I644" i="4" s="1"/>
  <c r="G643" i="4"/>
  <c r="I643" i="4" s="1"/>
  <c r="G642" i="4"/>
  <c r="I642" i="4" s="1"/>
  <c r="G641" i="4"/>
  <c r="I641" i="4" s="1"/>
  <c r="G640" i="4"/>
  <c r="I640" i="4" s="1"/>
  <c r="G639" i="4"/>
  <c r="I639" i="4" s="1"/>
  <c r="G638" i="4"/>
  <c r="I638" i="4" s="1"/>
  <c r="G637" i="4"/>
  <c r="I637" i="4" s="1"/>
  <c r="G636" i="4"/>
  <c r="I636" i="4" s="1"/>
  <c r="G635" i="4"/>
  <c r="I635" i="4" s="1"/>
  <c r="G634" i="4"/>
  <c r="I634" i="4" s="1"/>
  <c r="G633" i="4"/>
  <c r="I633" i="4" s="1"/>
  <c r="G632" i="4"/>
  <c r="I632" i="4" s="1"/>
  <c r="G631" i="4"/>
  <c r="I631" i="4" s="1"/>
  <c r="G630" i="4"/>
  <c r="I630" i="4" s="1"/>
  <c r="G629" i="4"/>
  <c r="I629" i="4" s="1"/>
  <c r="G628" i="4"/>
  <c r="I628" i="4" s="1"/>
  <c r="G627" i="4"/>
  <c r="I627" i="4" s="1"/>
  <c r="G626" i="4"/>
  <c r="I626" i="4" s="1"/>
  <c r="G625" i="4"/>
  <c r="I625" i="4" s="1"/>
  <c r="G624" i="4"/>
  <c r="I624" i="4" s="1"/>
  <c r="G623" i="4"/>
  <c r="I623" i="4" s="1"/>
  <c r="G622" i="4"/>
  <c r="I622" i="4" s="1"/>
  <c r="G621" i="4"/>
  <c r="I621" i="4" s="1"/>
  <c r="G620" i="4"/>
  <c r="I620" i="4" s="1"/>
  <c r="G619" i="4"/>
  <c r="I619" i="4" s="1"/>
  <c r="G618" i="4"/>
  <c r="I618" i="4" s="1"/>
  <c r="G617" i="4"/>
  <c r="I617" i="4" s="1"/>
  <c r="G616" i="4"/>
  <c r="I616" i="4" s="1"/>
  <c r="G615" i="4"/>
  <c r="I615" i="4" s="1"/>
  <c r="G614" i="4"/>
  <c r="I614" i="4" s="1"/>
  <c r="G613" i="4"/>
  <c r="I613" i="4" s="1"/>
  <c r="G612" i="4"/>
  <c r="I612" i="4" s="1"/>
  <c r="G611" i="4"/>
  <c r="I611" i="4" s="1"/>
  <c r="G610" i="4"/>
  <c r="I610" i="4" s="1"/>
  <c r="G609" i="4"/>
  <c r="I609" i="4" s="1"/>
  <c r="G608" i="4"/>
  <c r="I608" i="4" s="1"/>
  <c r="G607" i="4"/>
  <c r="I607" i="4" s="1"/>
  <c r="G606" i="4"/>
  <c r="I606" i="4" s="1"/>
  <c r="G605" i="4"/>
  <c r="I605" i="4" s="1"/>
  <c r="G604" i="4"/>
  <c r="I604" i="4" s="1"/>
  <c r="G603" i="4"/>
  <c r="I603" i="4" s="1"/>
  <c r="G602" i="4"/>
  <c r="I602" i="4" s="1"/>
  <c r="G601" i="4"/>
  <c r="I601" i="4" s="1"/>
  <c r="G600" i="4"/>
  <c r="I600" i="4" s="1"/>
  <c r="G599" i="4"/>
  <c r="I599" i="4" s="1"/>
  <c r="G598" i="4"/>
  <c r="I598" i="4" s="1"/>
  <c r="G597" i="4"/>
  <c r="I597" i="4" s="1"/>
  <c r="G596" i="4"/>
  <c r="I596" i="4" s="1"/>
  <c r="G595" i="4"/>
  <c r="I595" i="4" s="1"/>
  <c r="G594" i="4"/>
  <c r="I594" i="4" s="1"/>
  <c r="G593" i="4"/>
  <c r="I593" i="4" s="1"/>
  <c r="G592" i="4"/>
  <c r="I592" i="4" s="1"/>
  <c r="G591" i="4"/>
  <c r="I591" i="4" s="1"/>
  <c r="G590" i="4"/>
  <c r="I590" i="4" s="1"/>
  <c r="G589" i="4"/>
  <c r="I589" i="4" s="1"/>
  <c r="G588" i="4"/>
  <c r="I588" i="4" s="1"/>
  <c r="G587" i="4"/>
  <c r="I587" i="4" s="1"/>
  <c r="G586" i="4"/>
  <c r="I586" i="4" s="1"/>
  <c r="G585" i="4"/>
  <c r="I585" i="4" s="1"/>
  <c r="G584" i="4"/>
  <c r="I584" i="4" s="1"/>
  <c r="G583" i="4"/>
  <c r="I583" i="4" s="1"/>
  <c r="G582" i="4"/>
  <c r="I582" i="4" s="1"/>
  <c r="G581" i="4"/>
  <c r="I581" i="4" s="1"/>
  <c r="G580" i="4"/>
  <c r="I580" i="4" s="1"/>
  <c r="G579" i="4"/>
  <c r="I579" i="4" s="1"/>
  <c r="G578" i="4"/>
  <c r="I578" i="4" s="1"/>
  <c r="G577" i="4"/>
  <c r="I577" i="4" s="1"/>
  <c r="G576" i="4"/>
  <c r="I576" i="4" s="1"/>
  <c r="G575" i="4"/>
  <c r="I575" i="4" s="1"/>
  <c r="G574" i="4"/>
  <c r="I574" i="4" s="1"/>
  <c r="G573" i="4"/>
  <c r="I573" i="4" s="1"/>
  <c r="G572" i="4"/>
  <c r="I572" i="4" s="1"/>
  <c r="G571" i="4"/>
  <c r="I571" i="4" s="1"/>
  <c r="G570" i="4"/>
  <c r="I570" i="4" s="1"/>
  <c r="G569" i="4"/>
  <c r="I569" i="4" s="1"/>
  <c r="G568" i="4"/>
  <c r="I568" i="4" s="1"/>
  <c r="G567" i="4"/>
  <c r="I567" i="4" s="1"/>
  <c r="G566" i="4"/>
  <c r="I566" i="4" s="1"/>
  <c r="G565" i="4"/>
  <c r="I565" i="4" s="1"/>
  <c r="G564" i="4"/>
  <c r="I564" i="4" s="1"/>
  <c r="G563" i="4"/>
  <c r="I563" i="4" s="1"/>
  <c r="G562" i="4"/>
  <c r="I562" i="4" s="1"/>
  <c r="G561" i="4"/>
  <c r="I561" i="4" s="1"/>
  <c r="G560" i="4"/>
  <c r="I560" i="4" s="1"/>
  <c r="G559" i="4"/>
  <c r="I559" i="4" s="1"/>
  <c r="G558" i="4"/>
  <c r="I558" i="4" s="1"/>
  <c r="G557" i="4"/>
  <c r="I557" i="4" s="1"/>
  <c r="G556" i="4"/>
  <c r="I556" i="4" s="1"/>
  <c r="G555" i="4"/>
  <c r="I555" i="4" s="1"/>
  <c r="G554" i="4"/>
  <c r="I554" i="4" s="1"/>
  <c r="G553" i="4"/>
  <c r="I553" i="4" s="1"/>
  <c r="G552" i="4"/>
  <c r="I552" i="4" s="1"/>
  <c r="G551" i="4"/>
  <c r="I551" i="4" s="1"/>
  <c r="G550" i="4"/>
  <c r="I550" i="4" s="1"/>
  <c r="G549" i="4"/>
  <c r="I549" i="4" s="1"/>
  <c r="G548" i="4"/>
  <c r="I548" i="4" s="1"/>
  <c r="G547" i="4"/>
  <c r="I547" i="4" s="1"/>
  <c r="G546" i="4"/>
  <c r="I546" i="4" s="1"/>
  <c r="G545" i="4"/>
  <c r="I545" i="4" s="1"/>
  <c r="G544" i="4"/>
  <c r="I544" i="4" s="1"/>
  <c r="G543" i="4"/>
  <c r="I543" i="4" s="1"/>
  <c r="G542" i="4"/>
  <c r="I542" i="4" s="1"/>
  <c r="G541" i="4"/>
  <c r="I541" i="4" s="1"/>
  <c r="G540" i="4"/>
  <c r="I540" i="4" s="1"/>
  <c r="G539" i="4"/>
  <c r="I539" i="4" s="1"/>
  <c r="G538" i="4"/>
  <c r="I538" i="4" s="1"/>
  <c r="G537" i="4"/>
  <c r="I537" i="4" s="1"/>
  <c r="G536" i="4"/>
  <c r="I536" i="4" s="1"/>
  <c r="G535" i="4"/>
  <c r="I535" i="4" s="1"/>
  <c r="G534" i="4"/>
  <c r="I534" i="4" s="1"/>
  <c r="G533" i="4"/>
  <c r="I533" i="4" s="1"/>
  <c r="G532" i="4"/>
  <c r="I532" i="4" s="1"/>
  <c r="G531" i="4"/>
  <c r="I531" i="4" s="1"/>
  <c r="G530" i="4"/>
  <c r="I530" i="4" s="1"/>
  <c r="G529" i="4"/>
  <c r="I529" i="4" s="1"/>
  <c r="G528" i="4"/>
  <c r="I528" i="4" s="1"/>
  <c r="G527" i="4"/>
  <c r="I527" i="4" s="1"/>
  <c r="G526" i="4"/>
  <c r="I526" i="4" s="1"/>
  <c r="G525" i="4"/>
  <c r="I525" i="4" s="1"/>
  <c r="G524" i="4"/>
  <c r="I524" i="4" s="1"/>
  <c r="G523" i="4"/>
  <c r="I523" i="4" s="1"/>
  <c r="G522" i="4"/>
  <c r="I522" i="4" s="1"/>
  <c r="G521" i="4"/>
  <c r="I521" i="4" s="1"/>
  <c r="G520" i="4"/>
  <c r="I520" i="4" s="1"/>
  <c r="G519" i="4"/>
  <c r="I519" i="4" s="1"/>
  <c r="G518" i="4"/>
  <c r="I518" i="4" s="1"/>
  <c r="G517" i="4"/>
  <c r="I517" i="4" s="1"/>
  <c r="G516" i="4"/>
  <c r="I516" i="4" s="1"/>
  <c r="G515" i="4"/>
  <c r="I515" i="4" s="1"/>
  <c r="G514" i="4"/>
  <c r="I514" i="4" s="1"/>
  <c r="G513" i="4"/>
  <c r="I513" i="4" s="1"/>
  <c r="G512" i="4"/>
  <c r="I512" i="4" s="1"/>
  <c r="G511" i="4"/>
  <c r="I511" i="4" s="1"/>
  <c r="G510" i="4"/>
  <c r="I510" i="4" s="1"/>
  <c r="G509" i="4"/>
  <c r="I509" i="4" s="1"/>
  <c r="G508" i="4"/>
  <c r="I508" i="4" s="1"/>
  <c r="G507" i="4"/>
  <c r="I507" i="4" s="1"/>
  <c r="G506" i="4"/>
  <c r="I506" i="4" s="1"/>
  <c r="G505" i="4"/>
  <c r="I505" i="4" s="1"/>
  <c r="G504" i="4"/>
  <c r="I504" i="4" s="1"/>
  <c r="G503" i="4"/>
  <c r="I503" i="4" s="1"/>
  <c r="G502" i="4"/>
  <c r="I502" i="4" s="1"/>
  <c r="G501" i="4"/>
  <c r="I501" i="4" s="1"/>
  <c r="G500" i="4"/>
  <c r="I500" i="4" s="1"/>
  <c r="G499" i="4"/>
  <c r="I499" i="4" s="1"/>
  <c r="G498" i="4"/>
  <c r="I498" i="4" s="1"/>
  <c r="G497" i="4"/>
  <c r="I497" i="4" s="1"/>
  <c r="G496" i="4"/>
  <c r="I496" i="4" s="1"/>
  <c r="G495" i="4"/>
  <c r="I495" i="4" s="1"/>
  <c r="G494" i="4"/>
  <c r="I494" i="4" s="1"/>
  <c r="G493" i="4"/>
  <c r="I493" i="4" s="1"/>
  <c r="G492" i="4"/>
  <c r="I492" i="4" s="1"/>
  <c r="G491" i="4"/>
  <c r="I491" i="4" s="1"/>
  <c r="G490" i="4"/>
  <c r="I490" i="4" s="1"/>
  <c r="G489" i="4"/>
  <c r="I489" i="4" s="1"/>
  <c r="G488" i="4"/>
  <c r="I488" i="4" s="1"/>
  <c r="G487" i="4"/>
  <c r="I487" i="4" s="1"/>
  <c r="G486" i="4"/>
  <c r="I486" i="4" s="1"/>
  <c r="G485" i="4"/>
  <c r="I485" i="4" s="1"/>
  <c r="G484" i="4"/>
  <c r="I484" i="4" s="1"/>
  <c r="G483" i="4"/>
  <c r="I483" i="4" s="1"/>
  <c r="G482" i="4"/>
  <c r="I482" i="4" s="1"/>
  <c r="G481" i="4"/>
  <c r="I481" i="4" s="1"/>
  <c r="G480" i="4"/>
  <c r="I480" i="4" s="1"/>
  <c r="G479" i="4"/>
  <c r="I479" i="4" s="1"/>
  <c r="G478" i="4"/>
  <c r="I478" i="4" s="1"/>
  <c r="G477" i="4"/>
  <c r="I477" i="4" s="1"/>
  <c r="G476" i="4"/>
  <c r="I476" i="4" s="1"/>
  <c r="G475" i="4"/>
  <c r="I475" i="4" s="1"/>
  <c r="G474" i="4"/>
  <c r="I474" i="4" s="1"/>
  <c r="G473" i="4"/>
  <c r="I473" i="4" s="1"/>
  <c r="G472" i="4"/>
  <c r="I472" i="4" s="1"/>
  <c r="G471" i="4"/>
  <c r="I471" i="4" s="1"/>
  <c r="G470" i="4"/>
  <c r="I470" i="4" s="1"/>
  <c r="G469" i="4"/>
  <c r="I469" i="4" s="1"/>
  <c r="G468" i="4"/>
  <c r="I468" i="4" s="1"/>
  <c r="G467" i="4"/>
  <c r="I467" i="4" s="1"/>
  <c r="G466" i="4"/>
  <c r="I466" i="4" s="1"/>
  <c r="G465" i="4"/>
  <c r="I465" i="4" s="1"/>
  <c r="G464" i="4"/>
  <c r="I464" i="4" s="1"/>
  <c r="G463" i="4"/>
  <c r="I463" i="4" s="1"/>
  <c r="G462" i="4"/>
  <c r="I462" i="4" s="1"/>
  <c r="G461" i="4"/>
  <c r="I461" i="4" s="1"/>
  <c r="G460" i="4"/>
  <c r="I460" i="4" s="1"/>
  <c r="G459" i="4"/>
  <c r="I459" i="4" s="1"/>
  <c r="G458" i="4"/>
  <c r="I458" i="4" s="1"/>
  <c r="G457" i="4"/>
  <c r="I457" i="4" s="1"/>
  <c r="G456" i="4"/>
  <c r="I456" i="4" s="1"/>
  <c r="G455" i="4"/>
  <c r="I455" i="4" s="1"/>
  <c r="G454" i="4"/>
  <c r="I454" i="4" s="1"/>
  <c r="G453" i="4"/>
  <c r="I453" i="4" s="1"/>
  <c r="G452" i="4"/>
  <c r="I452" i="4" s="1"/>
  <c r="G451" i="4"/>
  <c r="I451" i="4" s="1"/>
  <c r="G450" i="4"/>
  <c r="I450" i="4" s="1"/>
  <c r="G449" i="4"/>
  <c r="I449" i="4" s="1"/>
  <c r="G448" i="4"/>
  <c r="I448" i="4" s="1"/>
  <c r="G447" i="4"/>
  <c r="I447" i="4" s="1"/>
  <c r="G446" i="4"/>
  <c r="I446" i="4" s="1"/>
  <c r="G445" i="4"/>
  <c r="I445" i="4" s="1"/>
  <c r="G444" i="4"/>
  <c r="I444" i="4" s="1"/>
  <c r="G443" i="4"/>
  <c r="I443" i="4" s="1"/>
  <c r="G442" i="4"/>
  <c r="I442" i="4" s="1"/>
  <c r="G441" i="4"/>
  <c r="I441" i="4" s="1"/>
  <c r="G440" i="4"/>
  <c r="I440" i="4" s="1"/>
  <c r="G439" i="4"/>
  <c r="I439" i="4" s="1"/>
  <c r="G438" i="4"/>
  <c r="I438" i="4" s="1"/>
  <c r="G437" i="4"/>
  <c r="I437" i="4" s="1"/>
  <c r="G436" i="4"/>
  <c r="I436" i="4" s="1"/>
  <c r="G435" i="4"/>
  <c r="I435" i="4" s="1"/>
  <c r="G434" i="4"/>
  <c r="I434" i="4" s="1"/>
  <c r="G433" i="4"/>
  <c r="I433" i="4" s="1"/>
  <c r="G432" i="4"/>
  <c r="I432" i="4" s="1"/>
  <c r="G431" i="4"/>
  <c r="I431" i="4" s="1"/>
  <c r="G430" i="4"/>
  <c r="I430" i="4" s="1"/>
  <c r="G429" i="4"/>
  <c r="I429" i="4" s="1"/>
  <c r="G428" i="4"/>
  <c r="I428" i="4" s="1"/>
  <c r="G427" i="4"/>
  <c r="I427" i="4" s="1"/>
  <c r="G426" i="4"/>
  <c r="I426" i="4" s="1"/>
  <c r="G425" i="4"/>
  <c r="I425" i="4" s="1"/>
  <c r="G424" i="4"/>
  <c r="I424" i="4" s="1"/>
  <c r="G423" i="4"/>
  <c r="I423" i="4" s="1"/>
  <c r="G422" i="4"/>
  <c r="I422" i="4" s="1"/>
  <c r="G421" i="4"/>
  <c r="I421" i="4" s="1"/>
  <c r="G420" i="4"/>
  <c r="I420" i="4" s="1"/>
  <c r="G419" i="4"/>
  <c r="I419" i="4" s="1"/>
  <c r="G418" i="4"/>
  <c r="I418" i="4" s="1"/>
  <c r="G417" i="4"/>
  <c r="I417" i="4" s="1"/>
  <c r="G416" i="4"/>
  <c r="I416" i="4" s="1"/>
  <c r="G415" i="4"/>
  <c r="I415" i="4" s="1"/>
  <c r="G414" i="4"/>
  <c r="I414" i="4" s="1"/>
  <c r="G413" i="4"/>
  <c r="I413" i="4" s="1"/>
  <c r="G412" i="4"/>
  <c r="I412" i="4" s="1"/>
  <c r="G411" i="4"/>
  <c r="I411" i="4" s="1"/>
  <c r="G410" i="4"/>
  <c r="I410" i="4" s="1"/>
  <c r="G409" i="4"/>
  <c r="I409" i="4" s="1"/>
  <c r="G408" i="4"/>
  <c r="I408" i="4" s="1"/>
  <c r="G407" i="4"/>
  <c r="I407" i="4" s="1"/>
  <c r="G406" i="4"/>
  <c r="I406" i="4" s="1"/>
  <c r="G405" i="4"/>
  <c r="I405" i="4" s="1"/>
  <c r="G404" i="4"/>
  <c r="I404" i="4" s="1"/>
  <c r="G403" i="4"/>
  <c r="I403" i="4" s="1"/>
  <c r="G402" i="4"/>
  <c r="I402" i="4" s="1"/>
  <c r="G401" i="4"/>
  <c r="I401" i="4" s="1"/>
  <c r="G400" i="4"/>
  <c r="I400" i="4" s="1"/>
  <c r="G399" i="4"/>
  <c r="I399" i="4" s="1"/>
  <c r="G398" i="4"/>
  <c r="I398" i="4" s="1"/>
  <c r="G397" i="4"/>
  <c r="I397" i="4" s="1"/>
  <c r="G396" i="4"/>
  <c r="I396" i="4" s="1"/>
  <c r="G395" i="4"/>
  <c r="I395" i="4" s="1"/>
  <c r="G394" i="4"/>
  <c r="I394" i="4" s="1"/>
  <c r="G393" i="4"/>
  <c r="I393" i="4" s="1"/>
  <c r="G392" i="4"/>
  <c r="I392" i="4" s="1"/>
  <c r="G391" i="4"/>
  <c r="I391" i="4" s="1"/>
  <c r="G390" i="4"/>
  <c r="I390" i="4" s="1"/>
  <c r="G389" i="4"/>
  <c r="I389" i="4" s="1"/>
  <c r="G388" i="4"/>
  <c r="I388" i="4" s="1"/>
  <c r="G387" i="4"/>
  <c r="I387" i="4" s="1"/>
  <c r="G386" i="4"/>
  <c r="I386" i="4" s="1"/>
  <c r="G385" i="4"/>
  <c r="I385" i="4" s="1"/>
  <c r="G384" i="4"/>
  <c r="I384" i="4" s="1"/>
  <c r="G383" i="4"/>
  <c r="I383" i="4" s="1"/>
  <c r="G382" i="4"/>
  <c r="I382" i="4" s="1"/>
  <c r="G381" i="4"/>
  <c r="I381" i="4" s="1"/>
  <c r="G380" i="4"/>
  <c r="I380" i="4" s="1"/>
  <c r="G379" i="4"/>
  <c r="I379" i="4" s="1"/>
  <c r="G378" i="4"/>
  <c r="I378" i="4" s="1"/>
  <c r="G377" i="4"/>
  <c r="I377" i="4" s="1"/>
  <c r="G376" i="4"/>
  <c r="I376" i="4" s="1"/>
  <c r="G375" i="4"/>
  <c r="I375" i="4" s="1"/>
  <c r="G374" i="4"/>
  <c r="I374" i="4" s="1"/>
  <c r="G373" i="4"/>
  <c r="I373" i="4" s="1"/>
  <c r="G372" i="4"/>
  <c r="I372" i="4" s="1"/>
  <c r="G371" i="4"/>
  <c r="I371" i="4" s="1"/>
  <c r="G370" i="4"/>
  <c r="I370" i="4" s="1"/>
  <c r="G369" i="4"/>
  <c r="I369" i="4" s="1"/>
  <c r="G368" i="4"/>
  <c r="I368" i="4" s="1"/>
  <c r="G367" i="4"/>
  <c r="I367" i="4" s="1"/>
  <c r="G366" i="4"/>
  <c r="I366" i="4" s="1"/>
  <c r="G365" i="4"/>
  <c r="I365" i="4" s="1"/>
  <c r="G364" i="4"/>
  <c r="I364" i="4" s="1"/>
  <c r="G363" i="4"/>
  <c r="I363" i="4" s="1"/>
  <c r="G362" i="4"/>
  <c r="I362" i="4" s="1"/>
  <c r="G361" i="4"/>
  <c r="I361" i="4" s="1"/>
  <c r="G360" i="4"/>
  <c r="I360" i="4" s="1"/>
  <c r="G359" i="4"/>
  <c r="I359" i="4" s="1"/>
  <c r="G358" i="4"/>
  <c r="I358" i="4" s="1"/>
  <c r="G357" i="4"/>
  <c r="I357" i="4" s="1"/>
  <c r="G356" i="4"/>
  <c r="I356" i="4" s="1"/>
  <c r="G355" i="4"/>
  <c r="I355" i="4" s="1"/>
  <c r="G354" i="4"/>
  <c r="I354" i="4" s="1"/>
  <c r="G353" i="4"/>
  <c r="I353" i="4" s="1"/>
  <c r="G352" i="4"/>
  <c r="I352" i="4" s="1"/>
  <c r="G351" i="4"/>
  <c r="I351" i="4" s="1"/>
  <c r="G350" i="4"/>
  <c r="I350" i="4" s="1"/>
  <c r="G349" i="4"/>
  <c r="I349" i="4" s="1"/>
  <c r="G348" i="4"/>
  <c r="I348" i="4" s="1"/>
  <c r="G347" i="4"/>
  <c r="I347" i="4" s="1"/>
  <c r="G346" i="4"/>
  <c r="I346" i="4" s="1"/>
  <c r="G345" i="4"/>
  <c r="I345" i="4" s="1"/>
  <c r="G344" i="4"/>
  <c r="I344" i="4" s="1"/>
  <c r="G343" i="4"/>
  <c r="I343" i="4" s="1"/>
  <c r="G342" i="4"/>
  <c r="I342" i="4" s="1"/>
  <c r="G341" i="4"/>
  <c r="I341" i="4" s="1"/>
  <c r="G340" i="4"/>
  <c r="I340" i="4" s="1"/>
  <c r="G339" i="4"/>
  <c r="I339" i="4" s="1"/>
  <c r="G338" i="4"/>
  <c r="I338" i="4" s="1"/>
  <c r="G337" i="4"/>
  <c r="I337" i="4" s="1"/>
  <c r="G336" i="4"/>
  <c r="I336" i="4" s="1"/>
  <c r="G335" i="4"/>
  <c r="I335" i="4" s="1"/>
  <c r="G334" i="4"/>
  <c r="I334" i="4" s="1"/>
  <c r="G333" i="4"/>
  <c r="I333" i="4" s="1"/>
  <c r="G332" i="4"/>
  <c r="I332" i="4" s="1"/>
  <c r="G331" i="4"/>
  <c r="I331" i="4" s="1"/>
  <c r="G330" i="4"/>
  <c r="I330" i="4" s="1"/>
  <c r="G329" i="4"/>
  <c r="I329" i="4" s="1"/>
  <c r="G328" i="4"/>
  <c r="I328" i="4" s="1"/>
  <c r="G327" i="4"/>
  <c r="I327" i="4" s="1"/>
  <c r="G326" i="4"/>
  <c r="I326" i="4" s="1"/>
  <c r="G325" i="4"/>
  <c r="I325" i="4" s="1"/>
  <c r="G324" i="4"/>
  <c r="I324" i="4" s="1"/>
  <c r="G323" i="4"/>
  <c r="I323" i="4" s="1"/>
  <c r="G322" i="4"/>
  <c r="I322" i="4" s="1"/>
  <c r="G321" i="4"/>
  <c r="I321" i="4" s="1"/>
  <c r="G320" i="4"/>
  <c r="I320" i="4" s="1"/>
  <c r="G319" i="4"/>
  <c r="I319" i="4" s="1"/>
  <c r="G318" i="4"/>
  <c r="I318" i="4" s="1"/>
  <c r="G317" i="4"/>
  <c r="I317" i="4" s="1"/>
  <c r="G316" i="4"/>
  <c r="I316" i="4" s="1"/>
  <c r="G315" i="4"/>
  <c r="I315" i="4" s="1"/>
  <c r="G314" i="4"/>
  <c r="I314" i="4" s="1"/>
  <c r="G313" i="4"/>
  <c r="I313" i="4" s="1"/>
  <c r="G312" i="4"/>
  <c r="I312" i="4" s="1"/>
  <c r="G311" i="4"/>
  <c r="I311" i="4" s="1"/>
  <c r="G310" i="4"/>
  <c r="I310" i="4" s="1"/>
  <c r="G309" i="4"/>
  <c r="I309" i="4" s="1"/>
  <c r="G308" i="4"/>
  <c r="I308" i="4" s="1"/>
  <c r="G307" i="4"/>
  <c r="I307" i="4" s="1"/>
  <c r="G306" i="4"/>
  <c r="I306" i="4" s="1"/>
  <c r="G305" i="4"/>
  <c r="I305" i="4" s="1"/>
  <c r="G304" i="4"/>
  <c r="I304" i="4" s="1"/>
  <c r="G303" i="4"/>
  <c r="I303" i="4" s="1"/>
  <c r="G302" i="4"/>
  <c r="I302" i="4" s="1"/>
  <c r="G301" i="4"/>
  <c r="I301" i="4" s="1"/>
  <c r="G300" i="4"/>
  <c r="I300" i="4" s="1"/>
  <c r="G299" i="4"/>
  <c r="I299" i="4" s="1"/>
  <c r="G298" i="4"/>
  <c r="I298" i="4" s="1"/>
  <c r="G297" i="4"/>
  <c r="I297" i="4" s="1"/>
  <c r="G296" i="4"/>
  <c r="I296" i="4" s="1"/>
  <c r="G295" i="4"/>
  <c r="I295" i="4" s="1"/>
  <c r="G294" i="4"/>
  <c r="I294" i="4" s="1"/>
  <c r="G293" i="4"/>
  <c r="I293" i="4" s="1"/>
  <c r="G292" i="4"/>
  <c r="I292" i="4" s="1"/>
  <c r="G291" i="4"/>
  <c r="I291" i="4" s="1"/>
  <c r="G290" i="4"/>
  <c r="I290" i="4" s="1"/>
  <c r="G289" i="4"/>
  <c r="I289" i="4" s="1"/>
  <c r="G288" i="4"/>
  <c r="I288" i="4" s="1"/>
  <c r="G287" i="4"/>
  <c r="I287" i="4" s="1"/>
  <c r="G286" i="4"/>
  <c r="I286" i="4" s="1"/>
  <c r="G285" i="4"/>
  <c r="I285" i="4" s="1"/>
  <c r="G284" i="4"/>
  <c r="I284" i="4" s="1"/>
  <c r="G283" i="4"/>
  <c r="I283" i="4" s="1"/>
  <c r="G282" i="4"/>
  <c r="I282" i="4" s="1"/>
  <c r="G281" i="4"/>
  <c r="I281" i="4" s="1"/>
  <c r="G280" i="4"/>
  <c r="I280" i="4" s="1"/>
  <c r="G279" i="4"/>
  <c r="I279" i="4" s="1"/>
  <c r="G278" i="4"/>
  <c r="I278" i="4" s="1"/>
  <c r="G277" i="4"/>
  <c r="I277" i="4" s="1"/>
  <c r="G276" i="4"/>
  <c r="I276" i="4" s="1"/>
  <c r="G275" i="4"/>
  <c r="I275" i="4" s="1"/>
  <c r="G274" i="4"/>
  <c r="I274" i="4" s="1"/>
  <c r="G273" i="4"/>
  <c r="I273" i="4" s="1"/>
  <c r="G272" i="4"/>
  <c r="I272" i="4" s="1"/>
  <c r="G271" i="4"/>
  <c r="I271" i="4" s="1"/>
  <c r="G270" i="4"/>
  <c r="I270" i="4" s="1"/>
  <c r="G269" i="4"/>
  <c r="I269" i="4" s="1"/>
  <c r="G268" i="4"/>
  <c r="I268" i="4" s="1"/>
  <c r="G267" i="4"/>
  <c r="I267" i="4" s="1"/>
  <c r="G266" i="4"/>
  <c r="I266" i="4" s="1"/>
  <c r="G265" i="4"/>
  <c r="I265" i="4" s="1"/>
  <c r="G264" i="4"/>
  <c r="I264" i="4" s="1"/>
  <c r="G263" i="4"/>
  <c r="I263" i="4" s="1"/>
  <c r="G262" i="4"/>
  <c r="I262" i="4" s="1"/>
  <c r="G261" i="4"/>
  <c r="I261" i="4" s="1"/>
  <c r="G260" i="4"/>
  <c r="I260" i="4" s="1"/>
  <c r="G259" i="4"/>
  <c r="I259" i="4" s="1"/>
  <c r="G258" i="4"/>
  <c r="I258" i="4" s="1"/>
  <c r="G257" i="4"/>
  <c r="I257" i="4" s="1"/>
  <c r="G256" i="4"/>
  <c r="I256" i="4" s="1"/>
  <c r="G255" i="4"/>
  <c r="I255" i="4" s="1"/>
  <c r="G254" i="4"/>
  <c r="I254" i="4" s="1"/>
  <c r="G253" i="4"/>
  <c r="I253" i="4" s="1"/>
  <c r="G252" i="4"/>
  <c r="I252" i="4" s="1"/>
  <c r="G251" i="4"/>
  <c r="I251" i="4" s="1"/>
  <c r="G250" i="4"/>
  <c r="I250" i="4" s="1"/>
  <c r="G249" i="4"/>
  <c r="I249" i="4" s="1"/>
  <c r="G248" i="4"/>
  <c r="I248" i="4" s="1"/>
  <c r="G247" i="4"/>
  <c r="I247" i="4" s="1"/>
  <c r="G246" i="4"/>
  <c r="I246" i="4" s="1"/>
  <c r="G245" i="4"/>
  <c r="I245" i="4" s="1"/>
  <c r="G244" i="4"/>
  <c r="I244" i="4" s="1"/>
  <c r="G243" i="4"/>
  <c r="I243" i="4" s="1"/>
  <c r="G242" i="4"/>
  <c r="I242" i="4" s="1"/>
  <c r="G241" i="4"/>
  <c r="I241" i="4" s="1"/>
  <c r="G240" i="4"/>
  <c r="I240" i="4" s="1"/>
  <c r="G239" i="4"/>
  <c r="I239" i="4" s="1"/>
  <c r="G238" i="4"/>
  <c r="I238" i="4" s="1"/>
  <c r="G237" i="4"/>
  <c r="I237" i="4" s="1"/>
  <c r="G236" i="4"/>
  <c r="I236" i="4" s="1"/>
  <c r="G235" i="4"/>
  <c r="I235" i="4" s="1"/>
  <c r="G234" i="4"/>
  <c r="I234" i="4" s="1"/>
  <c r="G233" i="4"/>
  <c r="I233" i="4" s="1"/>
  <c r="G232" i="4"/>
  <c r="I232" i="4" s="1"/>
  <c r="G231" i="4"/>
  <c r="I231" i="4" s="1"/>
  <c r="G230" i="4"/>
  <c r="I230" i="4" s="1"/>
  <c r="G229" i="4"/>
  <c r="I229" i="4" s="1"/>
  <c r="G228" i="4"/>
  <c r="I228" i="4" s="1"/>
  <c r="G227" i="4"/>
  <c r="I227" i="4" s="1"/>
  <c r="G226" i="4"/>
  <c r="I226" i="4" s="1"/>
  <c r="G225" i="4"/>
  <c r="I225" i="4" s="1"/>
  <c r="G224" i="4"/>
  <c r="I224" i="4" s="1"/>
  <c r="G223" i="4"/>
  <c r="I223" i="4" s="1"/>
  <c r="G222" i="4"/>
  <c r="I222" i="4" s="1"/>
  <c r="G221" i="4"/>
  <c r="I221" i="4" s="1"/>
  <c r="G220" i="4"/>
  <c r="I220" i="4" s="1"/>
  <c r="G219" i="4"/>
  <c r="I219" i="4" s="1"/>
  <c r="G218" i="4"/>
  <c r="I218" i="4" s="1"/>
  <c r="G217" i="4"/>
  <c r="I217" i="4" s="1"/>
  <c r="G216" i="4"/>
  <c r="I216" i="4" s="1"/>
  <c r="G215" i="4"/>
  <c r="I215" i="4" s="1"/>
  <c r="G214" i="4"/>
  <c r="I214" i="4" s="1"/>
  <c r="G213" i="4"/>
  <c r="I213" i="4" s="1"/>
  <c r="G212" i="4"/>
  <c r="I212" i="4" s="1"/>
  <c r="G211" i="4"/>
  <c r="I211" i="4" s="1"/>
  <c r="G210" i="4"/>
  <c r="I210" i="4" s="1"/>
  <c r="G209" i="4"/>
  <c r="I209" i="4" s="1"/>
  <c r="G208" i="4"/>
  <c r="I208" i="4" s="1"/>
  <c r="G207" i="4"/>
  <c r="I207" i="4" s="1"/>
  <c r="G206" i="4"/>
  <c r="I206" i="4" s="1"/>
  <c r="G205" i="4"/>
  <c r="I205" i="4" s="1"/>
  <c r="G204" i="4"/>
  <c r="I204" i="4" s="1"/>
  <c r="G203" i="4"/>
  <c r="I203" i="4" s="1"/>
  <c r="G202" i="4"/>
  <c r="I202" i="4" s="1"/>
  <c r="G201" i="4"/>
  <c r="I201" i="4" s="1"/>
  <c r="G200" i="4"/>
  <c r="I200" i="4" s="1"/>
  <c r="G199" i="4"/>
  <c r="I199" i="4" s="1"/>
  <c r="G198" i="4"/>
  <c r="I198" i="4" s="1"/>
  <c r="G197" i="4"/>
  <c r="I197" i="4" s="1"/>
  <c r="G196" i="4"/>
  <c r="I196" i="4" s="1"/>
  <c r="G195" i="4"/>
  <c r="I195" i="4" s="1"/>
  <c r="G194" i="4"/>
  <c r="I194" i="4" s="1"/>
  <c r="G193" i="4"/>
  <c r="I193" i="4" s="1"/>
  <c r="G192" i="4"/>
  <c r="I192" i="4" s="1"/>
  <c r="G191" i="4"/>
  <c r="I191" i="4" s="1"/>
  <c r="G190" i="4"/>
  <c r="I190" i="4" s="1"/>
  <c r="G189" i="4"/>
  <c r="I189" i="4" s="1"/>
  <c r="G188" i="4"/>
  <c r="I188" i="4" s="1"/>
  <c r="G187" i="4"/>
  <c r="I187" i="4" s="1"/>
  <c r="G186" i="4"/>
  <c r="I186" i="4" s="1"/>
  <c r="G185" i="4"/>
  <c r="I185" i="4" s="1"/>
  <c r="G184" i="4"/>
  <c r="I184" i="4" s="1"/>
  <c r="G183" i="4"/>
  <c r="I183" i="4" s="1"/>
  <c r="G182" i="4"/>
  <c r="I182" i="4" s="1"/>
  <c r="G181" i="4"/>
  <c r="I181" i="4" s="1"/>
  <c r="G180" i="4"/>
  <c r="I180" i="4" s="1"/>
  <c r="G179" i="4"/>
  <c r="I179" i="4" s="1"/>
  <c r="G178" i="4"/>
  <c r="I178" i="4" s="1"/>
  <c r="G177" i="4"/>
  <c r="I177" i="4" s="1"/>
  <c r="G176" i="4"/>
  <c r="I176" i="4" s="1"/>
  <c r="G175" i="4"/>
  <c r="I175" i="4" s="1"/>
  <c r="G174" i="4"/>
  <c r="I174" i="4" s="1"/>
  <c r="G173" i="4"/>
  <c r="I173" i="4" s="1"/>
  <c r="G172" i="4"/>
  <c r="I172" i="4" s="1"/>
  <c r="G171" i="4"/>
  <c r="I171" i="4" s="1"/>
  <c r="G170" i="4"/>
  <c r="I170" i="4" s="1"/>
  <c r="G169" i="4"/>
  <c r="I169" i="4" s="1"/>
  <c r="G168" i="4"/>
  <c r="I168" i="4" s="1"/>
  <c r="G167" i="4"/>
  <c r="I167" i="4" s="1"/>
  <c r="G166" i="4"/>
  <c r="I166" i="4" s="1"/>
  <c r="G165" i="4"/>
  <c r="I165" i="4" s="1"/>
  <c r="G164" i="4"/>
  <c r="I164" i="4" s="1"/>
  <c r="G163" i="4"/>
  <c r="I163" i="4" s="1"/>
  <c r="G162" i="4"/>
  <c r="I162" i="4" s="1"/>
  <c r="G161" i="4"/>
  <c r="I161" i="4" s="1"/>
  <c r="G160" i="4"/>
  <c r="I160" i="4" s="1"/>
  <c r="G159" i="4"/>
  <c r="I159" i="4" s="1"/>
  <c r="G158" i="4"/>
  <c r="I158" i="4" s="1"/>
  <c r="G157" i="4"/>
  <c r="I157" i="4" s="1"/>
  <c r="G156" i="4"/>
  <c r="I156" i="4" s="1"/>
  <c r="G155" i="4"/>
  <c r="I155" i="4" s="1"/>
  <c r="G154" i="4"/>
  <c r="I154" i="4" s="1"/>
  <c r="G153" i="4"/>
  <c r="I153" i="4" s="1"/>
  <c r="G152" i="4"/>
  <c r="I152" i="4" s="1"/>
  <c r="G151" i="4"/>
  <c r="I151" i="4" s="1"/>
  <c r="G150" i="4"/>
  <c r="I150" i="4" s="1"/>
  <c r="G149" i="4"/>
  <c r="I149" i="4" s="1"/>
  <c r="G148" i="4"/>
  <c r="I148" i="4" s="1"/>
  <c r="G147" i="4"/>
  <c r="I147" i="4" s="1"/>
  <c r="G146" i="4"/>
  <c r="I146" i="4" s="1"/>
  <c r="G145" i="4"/>
  <c r="I145" i="4" s="1"/>
  <c r="G144" i="4"/>
  <c r="I144" i="4" s="1"/>
  <c r="G143" i="4"/>
  <c r="I143" i="4" s="1"/>
  <c r="G142" i="4"/>
  <c r="I142" i="4" s="1"/>
  <c r="G141" i="4"/>
  <c r="I141" i="4" s="1"/>
  <c r="G140" i="4"/>
  <c r="I140" i="4" s="1"/>
  <c r="G139" i="4"/>
  <c r="I139" i="4" s="1"/>
  <c r="G138" i="4"/>
  <c r="I138" i="4" s="1"/>
  <c r="G137" i="4"/>
  <c r="I137" i="4" s="1"/>
  <c r="G136" i="4"/>
  <c r="I136" i="4" s="1"/>
  <c r="G135" i="4"/>
  <c r="I135" i="4" s="1"/>
  <c r="G134" i="4"/>
  <c r="I134" i="4" s="1"/>
  <c r="G133" i="4"/>
  <c r="I133" i="4" s="1"/>
  <c r="G132" i="4"/>
  <c r="I132" i="4" s="1"/>
  <c r="G131" i="4"/>
  <c r="I131" i="4" s="1"/>
  <c r="G130" i="4"/>
  <c r="I130" i="4" s="1"/>
  <c r="G129" i="4"/>
  <c r="I129" i="4" s="1"/>
  <c r="G128" i="4"/>
  <c r="I128" i="4" s="1"/>
  <c r="G127" i="4"/>
  <c r="I127" i="4" s="1"/>
  <c r="G126" i="4"/>
  <c r="I126" i="4" s="1"/>
  <c r="G125" i="4"/>
  <c r="I125" i="4" s="1"/>
  <c r="G124" i="4"/>
  <c r="I124" i="4" s="1"/>
  <c r="G123" i="4"/>
  <c r="I123" i="4" s="1"/>
  <c r="G122" i="4"/>
  <c r="I122" i="4" s="1"/>
  <c r="G121" i="4"/>
  <c r="I121" i="4" s="1"/>
  <c r="G120" i="4"/>
  <c r="I120" i="4" s="1"/>
  <c r="G119" i="4"/>
  <c r="I119" i="4" s="1"/>
  <c r="G118" i="4"/>
  <c r="I118" i="4" s="1"/>
  <c r="G117" i="4"/>
  <c r="I117" i="4" s="1"/>
  <c r="G116" i="4"/>
  <c r="I116" i="4" s="1"/>
  <c r="G115" i="4"/>
  <c r="I115" i="4" s="1"/>
  <c r="G114" i="4"/>
  <c r="I114" i="4" s="1"/>
  <c r="G113" i="4"/>
  <c r="I113" i="4" s="1"/>
  <c r="G112" i="4"/>
  <c r="I112" i="4" s="1"/>
  <c r="G111" i="4"/>
  <c r="I111" i="4" s="1"/>
  <c r="G110" i="4"/>
  <c r="I110" i="4" s="1"/>
  <c r="G109" i="4"/>
  <c r="I109" i="4" s="1"/>
  <c r="G108" i="4"/>
  <c r="I108" i="4" s="1"/>
  <c r="G107" i="4"/>
  <c r="I107" i="4" s="1"/>
  <c r="G106" i="4"/>
  <c r="I106" i="4" s="1"/>
  <c r="G105" i="4"/>
  <c r="I105" i="4" s="1"/>
  <c r="G104" i="4"/>
  <c r="I104" i="4" s="1"/>
  <c r="G103" i="4"/>
  <c r="I103" i="4" s="1"/>
  <c r="G102" i="4"/>
  <c r="I102" i="4" s="1"/>
  <c r="G101" i="4"/>
  <c r="I101" i="4" s="1"/>
  <c r="G100" i="4"/>
  <c r="I100" i="4" s="1"/>
  <c r="G99" i="4"/>
  <c r="I99" i="4" s="1"/>
  <c r="G98" i="4"/>
  <c r="I98" i="4" s="1"/>
  <c r="G97" i="4"/>
  <c r="I97" i="4" s="1"/>
  <c r="G96" i="4"/>
  <c r="I96" i="4" s="1"/>
  <c r="G95" i="4"/>
  <c r="I95" i="4" s="1"/>
  <c r="G94" i="4"/>
  <c r="I94" i="4" s="1"/>
  <c r="G93" i="4"/>
  <c r="I93" i="4" s="1"/>
  <c r="G92" i="4"/>
  <c r="I92" i="4" s="1"/>
  <c r="G91" i="4"/>
  <c r="I91" i="4" s="1"/>
  <c r="G90" i="4"/>
  <c r="I90" i="4" s="1"/>
  <c r="G89" i="4"/>
  <c r="I89" i="4" s="1"/>
  <c r="G88" i="4"/>
  <c r="I88" i="4" s="1"/>
  <c r="G87" i="4"/>
  <c r="I87" i="4" s="1"/>
  <c r="G86" i="4"/>
  <c r="I86" i="4" s="1"/>
  <c r="G85" i="4"/>
  <c r="I85" i="4" s="1"/>
  <c r="G84" i="4"/>
  <c r="I84" i="4" s="1"/>
  <c r="G83" i="4"/>
  <c r="I83" i="4" s="1"/>
  <c r="G82" i="4"/>
  <c r="I82" i="4" s="1"/>
  <c r="G81" i="4"/>
  <c r="I81" i="4" s="1"/>
  <c r="G80" i="4"/>
  <c r="I80" i="4" s="1"/>
  <c r="G79" i="4"/>
  <c r="I79" i="4" s="1"/>
  <c r="G78" i="4"/>
  <c r="I78" i="4" s="1"/>
  <c r="G77" i="4"/>
  <c r="I77" i="4" s="1"/>
  <c r="G76" i="4"/>
  <c r="I76" i="4" s="1"/>
  <c r="G75" i="4"/>
  <c r="I75" i="4" s="1"/>
  <c r="G74" i="4"/>
  <c r="I74" i="4" s="1"/>
  <c r="G73" i="4"/>
  <c r="I73" i="4" s="1"/>
  <c r="G72" i="4"/>
  <c r="I72" i="4" s="1"/>
  <c r="G71" i="4"/>
  <c r="I71" i="4" s="1"/>
  <c r="G70" i="4"/>
  <c r="I70" i="4" s="1"/>
  <c r="G69" i="4"/>
  <c r="I69" i="4" s="1"/>
  <c r="G68" i="4"/>
  <c r="I68" i="4" s="1"/>
  <c r="G67" i="4"/>
  <c r="I67" i="4" s="1"/>
  <c r="G66" i="4"/>
  <c r="I66" i="4" s="1"/>
  <c r="G65" i="4"/>
  <c r="I65" i="4" s="1"/>
  <c r="G64" i="4"/>
  <c r="I64" i="4" s="1"/>
  <c r="G63" i="4"/>
  <c r="I63" i="4" s="1"/>
  <c r="G62" i="4"/>
  <c r="I62" i="4" s="1"/>
  <c r="G61" i="4"/>
  <c r="I61" i="4" s="1"/>
  <c r="G60" i="4"/>
  <c r="I60" i="4" s="1"/>
  <c r="G59" i="4"/>
  <c r="I59" i="4" s="1"/>
  <c r="G58" i="4"/>
  <c r="I58" i="4" s="1"/>
  <c r="G57" i="4"/>
  <c r="I57" i="4" s="1"/>
  <c r="G56" i="4"/>
  <c r="I56" i="4" s="1"/>
  <c r="G55" i="4"/>
  <c r="I55" i="4" s="1"/>
  <c r="G54" i="4"/>
  <c r="I54" i="4" s="1"/>
  <c r="G53" i="4"/>
  <c r="I53" i="4" s="1"/>
  <c r="G52" i="4"/>
  <c r="I52" i="4" s="1"/>
  <c r="G51" i="4"/>
  <c r="I51" i="4" s="1"/>
  <c r="G50" i="4"/>
  <c r="I50" i="4" s="1"/>
  <c r="G49" i="4"/>
  <c r="I49" i="4" s="1"/>
  <c r="G48" i="4"/>
  <c r="I48" i="4" s="1"/>
  <c r="G47" i="4"/>
  <c r="I47" i="4" s="1"/>
  <c r="G46" i="4"/>
  <c r="I46" i="4" s="1"/>
  <c r="G45" i="4"/>
  <c r="I45" i="4" s="1"/>
  <c r="G44" i="4"/>
  <c r="I44" i="4" s="1"/>
  <c r="G43" i="4"/>
  <c r="I43" i="4" s="1"/>
  <c r="G42" i="4"/>
  <c r="I42" i="4" s="1"/>
  <c r="G41" i="4"/>
  <c r="I41" i="4" s="1"/>
  <c r="G40" i="4"/>
  <c r="I40" i="4" s="1"/>
  <c r="G39" i="4"/>
  <c r="I39" i="4" s="1"/>
  <c r="G38" i="4"/>
  <c r="I38" i="4" s="1"/>
  <c r="G37" i="4"/>
  <c r="I37" i="4" s="1"/>
  <c r="G36" i="4"/>
  <c r="I36" i="4" s="1"/>
  <c r="G35" i="4"/>
  <c r="I35" i="4" s="1"/>
  <c r="G34" i="4"/>
  <c r="I34" i="4" s="1"/>
  <c r="G33" i="4"/>
  <c r="I33" i="4" s="1"/>
  <c r="G32" i="4"/>
  <c r="I32" i="4" s="1"/>
  <c r="G31" i="4"/>
  <c r="I31" i="4" s="1"/>
  <c r="G30" i="4"/>
  <c r="I30" i="4" s="1"/>
  <c r="G29" i="4"/>
  <c r="I29" i="4" s="1"/>
  <c r="G28" i="4"/>
  <c r="I28" i="4" s="1"/>
  <c r="G27" i="4"/>
  <c r="I27" i="4" s="1"/>
  <c r="G26" i="4"/>
  <c r="I26" i="4" s="1"/>
  <c r="G25" i="4"/>
  <c r="I25" i="4" s="1"/>
  <c r="G24" i="4"/>
  <c r="I24" i="4" s="1"/>
  <c r="G23" i="4"/>
  <c r="I23" i="4" s="1"/>
  <c r="G22" i="4"/>
  <c r="I22" i="4" s="1"/>
  <c r="G21" i="4"/>
  <c r="I21" i="4" s="1"/>
  <c r="G20" i="4"/>
  <c r="I20" i="4" s="1"/>
  <c r="G19" i="4"/>
  <c r="I19" i="4" s="1"/>
  <c r="G18" i="4"/>
  <c r="I18" i="4" s="1"/>
  <c r="G17" i="4"/>
  <c r="I17" i="4" s="1"/>
  <c r="G16" i="4"/>
  <c r="I16" i="4" s="1"/>
  <c r="G15" i="4"/>
  <c r="I15" i="4" s="1"/>
  <c r="G14" i="4"/>
  <c r="I14" i="4" s="1"/>
  <c r="G13" i="4"/>
  <c r="I13" i="4" s="1"/>
  <c r="G12" i="4"/>
  <c r="I12" i="4" s="1"/>
  <c r="G11" i="4"/>
  <c r="I11" i="4" s="1"/>
  <c r="G10" i="4"/>
  <c r="I10" i="4" s="1"/>
  <c r="G9" i="4"/>
  <c r="I9" i="4" s="1"/>
  <c r="G8" i="4"/>
  <c r="I8" i="4" s="1"/>
  <c r="G7" i="4"/>
  <c r="I7" i="4" s="1"/>
  <c r="G6" i="4"/>
  <c r="I6" i="4" s="1"/>
  <c r="G5" i="4"/>
  <c r="I5" i="4" s="1"/>
  <c r="G4" i="4"/>
  <c r="I4" i="4" s="1"/>
  <c r="AS43" i="2" l="1"/>
  <c r="AT56" i="2"/>
  <c r="AU56" i="2" s="1"/>
  <c r="AS24" i="2"/>
  <c r="AS34" i="2"/>
  <c r="AS44" i="2"/>
  <c r="AT57" i="2"/>
  <c r="AU57" i="2" s="1"/>
  <c r="AS23" i="2"/>
  <c r="AS33" i="2"/>
  <c r="AS25" i="2"/>
  <c r="AS35" i="2"/>
  <c r="AS45" i="2"/>
  <c r="AT58" i="2"/>
  <c r="AU58" i="2" s="1"/>
  <c r="AS26" i="2"/>
  <c r="AS36" i="2"/>
  <c r="AS46" i="2"/>
  <c r="AT59" i="2"/>
  <c r="AU59" i="2" s="1"/>
  <c r="AS27" i="2"/>
  <c r="AS37" i="2"/>
  <c r="AS50" i="2"/>
  <c r="AS60" i="2"/>
  <c r="AS28" i="2"/>
  <c r="AS38" i="2"/>
  <c r="AS51" i="2"/>
  <c r="AS61" i="2"/>
  <c r="AS19" i="2"/>
  <c r="AS29" i="2"/>
  <c r="AS39" i="2"/>
  <c r="AS52" i="2"/>
  <c r="AS62" i="2"/>
  <c r="AS20" i="2"/>
  <c r="AS30" i="2"/>
  <c r="AS40" i="2"/>
  <c r="AS53" i="2"/>
  <c r="AS63" i="2"/>
  <c r="AS21" i="2"/>
  <c r="AS31" i="2"/>
  <c r="AS41" i="2"/>
  <c r="AS54" i="2"/>
  <c r="AS64" i="2"/>
  <c r="AS22" i="2"/>
  <c r="AS32" i="2"/>
  <c r="AS42" i="2"/>
  <c r="AS55" i="2"/>
  <c r="AS65" i="2"/>
  <c r="AS56" i="2"/>
  <c r="AT50" i="2"/>
  <c r="AU50" i="2" s="1"/>
  <c r="AT60" i="2"/>
  <c r="AU60" i="2" s="1"/>
  <c r="AS57" i="2"/>
  <c r="AT51" i="2"/>
  <c r="AU51" i="2" s="1"/>
  <c r="AT61" i="2"/>
  <c r="AU61" i="2" s="1"/>
  <c r="AS58" i="2"/>
  <c r="AT52" i="2"/>
  <c r="AU52" i="2" s="1"/>
  <c r="AT62" i="2"/>
  <c r="AU62" i="2" s="1"/>
  <c r="AS59" i="2"/>
  <c r="AT53" i="2"/>
  <c r="AU53" i="2" s="1"/>
  <c r="AT63" i="2"/>
  <c r="AU63" i="2" s="1"/>
  <c r="AT54" i="2"/>
  <c r="AU54" i="2" s="1"/>
  <c r="AT64" i="2"/>
  <c r="AU64" i="2" s="1"/>
  <c r="AT55" i="2"/>
  <c r="AU55" i="2" s="1"/>
  <c r="AT65" i="2"/>
  <c r="AU65" i="2" s="1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Y9" i="2" s="1"/>
  <c r="T392" i="2"/>
  <c r="S392" i="2"/>
  <c r="R392" i="2"/>
  <c r="Q392" i="2"/>
  <c r="T391" i="2"/>
  <c r="S391" i="2"/>
  <c r="R391" i="2"/>
  <c r="Q391" i="2"/>
  <c r="T390" i="2"/>
  <c r="S390" i="2"/>
  <c r="R390" i="2"/>
  <c r="Q390" i="2"/>
  <c r="T389" i="2"/>
  <c r="S389" i="2"/>
  <c r="R389" i="2"/>
  <c r="Q389" i="2"/>
  <c r="T388" i="2"/>
  <c r="S388" i="2"/>
  <c r="R388" i="2"/>
  <c r="Q388" i="2"/>
  <c r="T387" i="2"/>
  <c r="S387" i="2"/>
  <c r="R387" i="2"/>
  <c r="Q387" i="2"/>
  <c r="T386" i="2"/>
  <c r="S386" i="2"/>
  <c r="R386" i="2"/>
  <c r="Q386" i="2"/>
  <c r="T385" i="2"/>
  <c r="S385" i="2"/>
  <c r="R385" i="2"/>
  <c r="Q385" i="2"/>
  <c r="T80" i="2"/>
  <c r="S80" i="2"/>
  <c r="R80" i="2"/>
  <c r="Q80" i="2"/>
  <c r="T384" i="2"/>
  <c r="S384" i="2"/>
  <c r="R384" i="2"/>
  <c r="Q384" i="2"/>
  <c r="U384" i="2" s="1"/>
  <c r="T55" i="2"/>
  <c r="S55" i="2"/>
  <c r="R55" i="2"/>
  <c r="Q55" i="2"/>
  <c r="T383" i="2"/>
  <c r="S383" i="2"/>
  <c r="R383" i="2"/>
  <c r="Q383" i="2"/>
  <c r="T382" i="2"/>
  <c r="S382" i="2"/>
  <c r="U382" i="2" s="1"/>
  <c r="R382" i="2"/>
  <c r="Q382" i="2"/>
  <c r="T381" i="2"/>
  <c r="S381" i="2"/>
  <c r="R381" i="2"/>
  <c r="Q381" i="2"/>
  <c r="T54" i="2"/>
  <c r="S54" i="2"/>
  <c r="R54" i="2"/>
  <c r="Q54" i="2"/>
  <c r="U54" i="2" s="1"/>
  <c r="T79" i="2"/>
  <c r="S79" i="2"/>
  <c r="R79" i="2"/>
  <c r="Q79" i="2"/>
  <c r="T29" i="2"/>
  <c r="S29" i="2"/>
  <c r="R29" i="2"/>
  <c r="Q29" i="2"/>
  <c r="T380" i="2"/>
  <c r="S380" i="2"/>
  <c r="R380" i="2"/>
  <c r="Q380" i="2"/>
  <c r="T379" i="2"/>
  <c r="S379" i="2"/>
  <c r="R379" i="2"/>
  <c r="Q379" i="2"/>
  <c r="T378" i="2"/>
  <c r="S378" i="2"/>
  <c r="R378" i="2"/>
  <c r="Q378" i="2"/>
  <c r="T377" i="2"/>
  <c r="S377" i="2"/>
  <c r="R377" i="2"/>
  <c r="Q377" i="2"/>
  <c r="T376" i="2"/>
  <c r="S376" i="2"/>
  <c r="R376" i="2"/>
  <c r="Q376" i="2"/>
  <c r="T375" i="2"/>
  <c r="S375" i="2"/>
  <c r="R375" i="2"/>
  <c r="Q375" i="2"/>
  <c r="T374" i="2"/>
  <c r="S374" i="2"/>
  <c r="R374" i="2"/>
  <c r="Q374" i="2"/>
  <c r="T373" i="2"/>
  <c r="S373" i="2"/>
  <c r="R373" i="2"/>
  <c r="Q373" i="2"/>
  <c r="U373" i="2" s="1"/>
  <c r="T372" i="2"/>
  <c r="S372" i="2"/>
  <c r="R372" i="2"/>
  <c r="Q372" i="2"/>
  <c r="T96" i="2"/>
  <c r="S96" i="2"/>
  <c r="R96" i="2"/>
  <c r="Q96" i="2"/>
  <c r="T371" i="2"/>
  <c r="S371" i="2"/>
  <c r="R371" i="2"/>
  <c r="Q371" i="2"/>
  <c r="T78" i="2"/>
  <c r="S78" i="2"/>
  <c r="R78" i="2"/>
  <c r="Q78" i="2"/>
  <c r="T370" i="2"/>
  <c r="S370" i="2"/>
  <c r="R370" i="2"/>
  <c r="Q370" i="2"/>
  <c r="T369" i="2"/>
  <c r="S369" i="2"/>
  <c r="R369" i="2"/>
  <c r="Q369" i="2"/>
  <c r="T368" i="2"/>
  <c r="S368" i="2"/>
  <c r="R368" i="2"/>
  <c r="Q368" i="2"/>
  <c r="T367" i="2"/>
  <c r="S367" i="2"/>
  <c r="R367" i="2"/>
  <c r="Q367" i="2"/>
  <c r="T366" i="2"/>
  <c r="S366" i="2"/>
  <c r="R366" i="2"/>
  <c r="Q366" i="2"/>
  <c r="T365" i="2"/>
  <c r="S365" i="2"/>
  <c r="R365" i="2"/>
  <c r="Q365" i="2"/>
  <c r="U365" i="2" s="1"/>
  <c r="T364" i="2"/>
  <c r="S364" i="2"/>
  <c r="R364" i="2"/>
  <c r="Q364" i="2"/>
  <c r="T363" i="2"/>
  <c r="S363" i="2"/>
  <c r="R363" i="2"/>
  <c r="Q363" i="2"/>
  <c r="T77" i="2"/>
  <c r="S77" i="2"/>
  <c r="R77" i="2"/>
  <c r="Q77" i="2"/>
  <c r="T362" i="2"/>
  <c r="S362" i="2"/>
  <c r="R362" i="2"/>
  <c r="Q362" i="2"/>
  <c r="T23" i="2"/>
  <c r="S23" i="2"/>
  <c r="R23" i="2"/>
  <c r="Q23" i="2"/>
  <c r="T53" i="2"/>
  <c r="S53" i="2"/>
  <c r="R53" i="2"/>
  <c r="Q53" i="2"/>
  <c r="T361" i="2"/>
  <c r="S361" i="2"/>
  <c r="R361" i="2"/>
  <c r="Q361" i="2"/>
  <c r="T360" i="2"/>
  <c r="S360" i="2"/>
  <c r="R360" i="2"/>
  <c r="Q360" i="2"/>
  <c r="T359" i="2"/>
  <c r="S359" i="2"/>
  <c r="R359" i="2"/>
  <c r="Q359" i="2"/>
  <c r="T28" i="2"/>
  <c r="S28" i="2"/>
  <c r="R28" i="2"/>
  <c r="Q28" i="2"/>
  <c r="U28" i="2" s="1"/>
  <c r="T27" i="2"/>
  <c r="S27" i="2"/>
  <c r="R27" i="2"/>
  <c r="Q27" i="2"/>
  <c r="T358" i="2"/>
  <c r="S358" i="2"/>
  <c r="R358" i="2"/>
  <c r="Q358" i="2"/>
  <c r="T357" i="2"/>
  <c r="S357" i="2"/>
  <c r="R357" i="2"/>
  <c r="Q357" i="2"/>
  <c r="T356" i="2"/>
  <c r="S356" i="2"/>
  <c r="R356" i="2"/>
  <c r="Q356" i="2"/>
  <c r="T355" i="2"/>
  <c r="S355" i="2"/>
  <c r="R355" i="2"/>
  <c r="Q355" i="2"/>
  <c r="T354" i="2"/>
  <c r="S354" i="2"/>
  <c r="R354" i="2"/>
  <c r="Q354" i="2"/>
  <c r="T353" i="2"/>
  <c r="S353" i="2"/>
  <c r="R353" i="2"/>
  <c r="Q353" i="2"/>
  <c r="T352" i="2"/>
  <c r="S352" i="2"/>
  <c r="R352" i="2"/>
  <c r="Q352" i="2"/>
  <c r="T351" i="2"/>
  <c r="S351" i="2"/>
  <c r="R351" i="2"/>
  <c r="Q351" i="2"/>
  <c r="T350" i="2"/>
  <c r="S350" i="2"/>
  <c r="R350" i="2"/>
  <c r="Q350" i="2"/>
  <c r="U350" i="2" s="1"/>
  <c r="T95" i="2"/>
  <c r="S95" i="2"/>
  <c r="R95" i="2"/>
  <c r="Q95" i="2"/>
  <c r="T349" i="2"/>
  <c r="S349" i="2"/>
  <c r="R349" i="2"/>
  <c r="Q349" i="2"/>
  <c r="T14" i="2"/>
  <c r="S14" i="2"/>
  <c r="R14" i="2"/>
  <c r="Q14" i="2"/>
  <c r="T348" i="2"/>
  <c r="S348" i="2"/>
  <c r="R348" i="2"/>
  <c r="Q348" i="2"/>
  <c r="T347" i="2"/>
  <c r="S347" i="2"/>
  <c r="R347" i="2"/>
  <c r="Q347" i="2"/>
  <c r="T346" i="2"/>
  <c r="S346" i="2"/>
  <c r="R346" i="2"/>
  <c r="Q346" i="2"/>
  <c r="T345" i="2"/>
  <c r="S345" i="2"/>
  <c r="R345" i="2"/>
  <c r="Q345" i="2"/>
  <c r="T344" i="2"/>
  <c r="S344" i="2"/>
  <c r="R344" i="2"/>
  <c r="Q344" i="2"/>
  <c r="T343" i="2"/>
  <c r="S343" i="2"/>
  <c r="R343" i="2"/>
  <c r="Q343" i="2"/>
  <c r="T342" i="2"/>
  <c r="S342" i="2"/>
  <c r="R342" i="2"/>
  <c r="Q342" i="2"/>
  <c r="T341" i="2"/>
  <c r="S341" i="2"/>
  <c r="R341" i="2"/>
  <c r="Q341" i="2"/>
  <c r="T340" i="2"/>
  <c r="S340" i="2"/>
  <c r="R340" i="2"/>
  <c r="Q340" i="2"/>
  <c r="T339" i="2"/>
  <c r="S339" i="2"/>
  <c r="R339" i="2"/>
  <c r="Q339" i="2"/>
  <c r="T338" i="2"/>
  <c r="S338" i="2"/>
  <c r="R338" i="2"/>
  <c r="Q338" i="2"/>
  <c r="T337" i="2"/>
  <c r="S337" i="2"/>
  <c r="R337" i="2"/>
  <c r="Q337" i="2"/>
  <c r="T336" i="2"/>
  <c r="S336" i="2"/>
  <c r="R336" i="2"/>
  <c r="Q336" i="2"/>
  <c r="T13" i="2"/>
  <c r="S13" i="2"/>
  <c r="R13" i="2"/>
  <c r="Q13" i="2"/>
  <c r="T335" i="2"/>
  <c r="S335" i="2"/>
  <c r="R335" i="2"/>
  <c r="Q335" i="2"/>
  <c r="T76" i="2"/>
  <c r="S76" i="2"/>
  <c r="R76" i="2"/>
  <c r="Q76" i="2"/>
  <c r="T94" i="2"/>
  <c r="S94" i="2"/>
  <c r="R94" i="2"/>
  <c r="Q94" i="2"/>
  <c r="U94" i="2" s="1"/>
  <c r="T93" i="2"/>
  <c r="S93" i="2"/>
  <c r="R93" i="2"/>
  <c r="Q93" i="2"/>
  <c r="T334" i="2"/>
  <c r="S334" i="2"/>
  <c r="R334" i="2"/>
  <c r="Q334" i="2"/>
  <c r="T333" i="2"/>
  <c r="S333" i="2"/>
  <c r="R333" i="2"/>
  <c r="Q333" i="2"/>
  <c r="T332" i="2"/>
  <c r="S332" i="2"/>
  <c r="R332" i="2"/>
  <c r="Q332" i="2"/>
  <c r="T331" i="2"/>
  <c r="S331" i="2"/>
  <c r="R331" i="2"/>
  <c r="Q331" i="2"/>
  <c r="T330" i="2"/>
  <c r="S330" i="2"/>
  <c r="R330" i="2"/>
  <c r="Q330" i="2"/>
  <c r="T329" i="2"/>
  <c r="S329" i="2"/>
  <c r="R329" i="2"/>
  <c r="Q329" i="2"/>
  <c r="T328" i="2"/>
  <c r="S328" i="2"/>
  <c r="R328" i="2"/>
  <c r="Q328" i="2"/>
  <c r="T327" i="2"/>
  <c r="S327" i="2"/>
  <c r="R327" i="2"/>
  <c r="Q327" i="2"/>
  <c r="T326" i="2"/>
  <c r="S326" i="2"/>
  <c r="R326" i="2"/>
  <c r="Q326" i="2"/>
  <c r="U326" i="2" s="1"/>
  <c r="T52" i="2"/>
  <c r="S52" i="2"/>
  <c r="R52" i="2"/>
  <c r="Q52" i="2"/>
  <c r="T325" i="2"/>
  <c r="S325" i="2"/>
  <c r="R325" i="2"/>
  <c r="Q325" i="2"/>
  <c r="T51" i="2"/>
  <c r="S51" i="2"/>
  <c r="R51" i="2"/>
  <c r="Q51" i="2"/>
  <c r="T324" i="2"/>
  <c r="S324" i="2"/>
  <c r="R324" i="2"/>
  <c r="Q324" i="2"/>
  <c r="T323" i="2"/>
  <c r="S323" i="2"/>
  <c r="R323" i="2"/>
  <c r="Q323" i="2"/>
  <c r="T322" i="2"/>
  <c r="S322" i="2"/>
  <c r="R322" i="2"/>
  <c r="Q322" i="2"/>
  <c r="T321" i="2"/>
  <c r="S321" i="2"/>
  <c r="R321" i="2"/>
  <c r="Q321" i="2"/>
  <c r="T320" i="2"/>
  <c r="S320" i="2"/>
  <c r="R320" i="2"/>
  <c r="Q320" i="2"/>
  <c r="T30" i="2"/>
  <c r="S30" i="2"/>
  <c r="R30" i="2"/>
  <c r="Q30" i="2"/>
  <c r="T319" i="2"/>
  <c r="S319" i="2"/>
  <c r="R319" i="2"/>
  <c r="Q319" i="2"/>
  <c r="U319" i="2" s="1"/>
  <c r="T318" i="2"/>
  <c r="S318" i="2"/>
  <c r="R318" i="2"/>
  <c r="Q318" i="2"/>
  <c r="T75" i="2"/>
  <c r="S75" i="2"/>
  <c r="R75" i="2"/>
  <c r="Q75" i="2"/>
  <c r="T12" i="2"/>
  <c r="S12" i="2"/>
  <c r="R12" i="2"/>
  <c r="Q12" i="2"/>
  <c r="T317" i="2"/>
  <c r="S317" i="2"/>
  <c r="R317" i="2"/>
  <c r="Q317" i="2"/>
  <c r="T50" i="2"/>
  <c r="S50" i="2"/>
  <c r="R50" i="2"/>
  <c r="Q50" i="2"/>
  <c r="T92" i="2"/>
  <c r="S92" i="2"/>
  <c r="R92" i="2"/>
  <c r="Q92" i="2"/>
  <c r="T5" i="2"/>
  <c r="S5" i="2"/>
  <c r="R5" i="2"/>
  <c r="Q5" i="2"/>
  <c r="T316" i="2"/>
  <c r="S316" i="2"/>
  <c r="R316" i="2"/>
  <c r="Q316" i="2"/>
  <c r="T24" i="2"/>
  <c r="S24" i="2"/>
  <c r="R24" i="2"/>
  <c r="Q24" i="2"/>
  <c r="T26" i="2"/>
  <c r="S26" i="2"/>
  <c r="R26" i="2"/>
  <c r="Q26" i="2"/>
  <c r="U26" i="2" s="1"/>
  <c r="T91" i="2"/>
  <c r="S91" i="2"/>
  <c r="R91" i="2"/>
  <c r="Q91" i="2"/>
  <c r="T315" i="2"/>
  <c r="S315" i="2"/>
  <c r="R315" i="2"/>
  <c r="Q315" i="2"/>
  <c r="T314" i="2"/>
  <c r="S314" i="2"/>
  <c r="R314" i="2"/>
  <c r="Q314" i="2"/>
  <c r="T313" i="2"/>
  <c r="S313" i="2"/>
  <c r="R313" i="2"/>
  <c r="Q313" i="2"/>
  <c r="T312" i="2"/>
  <c r="S312" i="2"/>
  <c r="R312" i="2"/>
  <c r="Q312" i="2"/>
  <c r="T311" i="2"/>
  <c r="S311" i="2"/>
  <c r="R311" i="2"/>
  <c r="Q311" i="2"/>
  <c r="T310" i="2"/>
  <c r="S310" i="2"/>
  <c r="R310" i="2"/>
  <c r="Q310" i="2"/>
  <c r="T309" i="2"/>
  <c r="S309" i="2"/>
  <c r="R309" i="2"/>
  <c r="Q309" i="2"/>
  <c r="T308" i="2"/>
  <c r="S308" i="2"/>
  <c r="R308" i="2"/>
  <c r="Q308" i="2"/>
  <c r="T307" i="2"/>
  <c r="S307" i="2"/>
  <c r="R307" i="2"/>
  <c r="Q307" i="2"/>
  <c r="U307" i="2" s="1"/>
  <c r="T49" i="2"/>
  <c r="S49" i="2"/>
  <c r="R49" i="2"/>
  <c r="Q49" i="2"/>
  <c r="T306" i="2"/>
  <c r="S306" i="2"/>
  <c r="R306" i="2"/>
  <c r="Q306" i="2"/>
  <c r="T305" i="2"/>
  <c r="S305" i="2"/>
  <c r="R305" i="2"/>
  <c r="Q305" i="2"/>
  <c r="T304" i="2"/>
  <c r="S304" i="2"/>
  <c r="R304" i="2"/>
  <c r="Q304" i="2"/>
  <c r="T303" i="2"/>
  <c r="S303" i="2"/>
  <c r="R303" i="2"/>
  <c r="Q303" i="2"/>
  <c r="T302" i="2"/>
  <c r="S302" i="2"/>
  <c r="R302" i="2"/>
  <c r="Q302" i="2"/>
  <c r="T301" i="2"/>
  <c r="S301" i="2"/>
  <c r="R301" i="2"/>
  <c r="Q301" i="2"/>
  <c r="T300" i="2"/>
  <c r="S300" i="2"/>
  <c r="R300" i="2"/>
  <c r="Q300" i="2"/>
  <c r="T299" i="2"/>
  <c r="S299" i="2"/>
  <c r="R299" i="2"/>
  <c r="Q299" i="2"/>
  <c r="T298" i="2"/>
  <c r="S298" i="2"/>
  <c r="R298" i="2"/>
  <c r="Q298" i="2"/>
  <c r="U298" i="2" s="1"/>
  <c r="T297" i="2"/>
  <c r="S297" i="2"/>
  <c r="R297" i="2"/>
  <c r="Q297" i="2"/>
  <c r="T74" i="2"/>
  <c r="S74" i="2"/>
  <c r="R74" i="2"/>
  <c r="Q74" i="2"/>
  <c r="T48" i="2"/>
  <c r="S48" i="2"/>
  <c r="R48" i="2"/>
  <c r="Q48" i="2"/>
  <c r="T296" i="2"/>
  <c r="S296" i="2"/>
  <c r="R296" i="2"/>
  <c r="Q296" i="2"/>
  <c r="T22" i="2"/>
  <c r="S22" i="2"/>
  <c r="R22" i="2"/>
  <c r="Q22" i="2"/>
  <c r="T295" i="2"/>
  <c r="S295" i="2"/>
  <c r="R295" i="2"/>
  <c r="Q295" i="2"/>
  <c r="T294" i="2"/>
  <c r="S294" i="2"/>
  <c r="R294" i="2"/>
  <c r="Q294" i="2"/>
  <c r="T293" i="2"/>
  <c r="S293" i="2"/>
  <c r="R293" i="2"/>
  <c r="Q293" i="2"/>
  <c r="T73" i="2"/>
  <c r="S73" i="2"/>
  <c r="R73" i="2"/>
  <c r="Q73" i="2"/>
  <c r="T90" i="2"/>
  <c r="S90" i="2"/>
  <c r="R90" i="2"/>
  <c r="Q90" i="2"/>
  <c r="U90" i="2" s="1"/>
  <c r="T89" i="2"/>
  <c r="S89" i="2"/>
  <c r="R89" i="2"/>
  <c r="Q89" i="2"/>
  <c r="T292" i="2"/>
  <c r="S292" i="2"/>
  <c r="R292" i="2"/>
  <c r="Q292" i="2"/>
  <c r="T291" i="2"/>
  <c r="S291" i="2"/>
  <c r="R291" i="2"/>
  <c r="Q291" i="2"/>
  <c r="T290" i="2"/>
  <c r="S290" i="2"/>
  <c r="R290" i="2"/>
  <c r="Q290" i="2"/>
  <c r="T289" i="2"/>
  <c r="S289" i="2"/>
  <c r="R289" i="2"/>
  <c r="Q289" i="2"/>
  <c r="T288" i="2"/>
  <c r="S288" i="2"/>
  <c r="R288" i="2"/>
  <c r="Q288" i="2"/>
  <c r="T287" i="2"/>
  <c r="S287" i="2"/>
  <c r="R287" i="2"/>
  <c r="Q287" i="2"/>
  <c r="T286" i="2"/>
  <c r="S286" i="2"/>
  <c r="R286" i="2"/>
  <c r="Q286" i="2"/>
  <c r="T285" i="2"/>
  <c r="S285" i="2"/>
  <c r="R285" i="2"/>
  <c r="Q285" i="2"/>
  <c r="T284" i="2"/>
  <c r="S284" i="2"/>
  <c r="R284" i="2"/>
  <c r="Q284" i="2"/>
  <c r="U284" i="2" s="1"/>
  <c r="T21" i="2"/>
  <c r="S21" i="2"/>
  <c r="R21" i="2"/>
  <c r="Q21" i="2"/>
  <c r="T283" i="2"/>
  <c r="S283" i="2"/>
  <c r="R283" i="2"/>
  <c r="Q283" i="2"/>
  <c r="T11" i="2"/>
  <c r="S11" i="2"/>
  <c r="R11" i="2"/>
  <c r="Q11" i="2"/>
  <c r="T282" i="2"/>
  <c r="S282" i="2"/>
  <c r="R282" i="2"/>
  <c r="Q282" i="2"/>
  <c r="T281" i="2"/>
  <c r="S281" i="2"/>
  <c r="R281" i="2"/>
  <c r="Q281" i="2"/>
  <c r="T280" i="2"/>
  <c r="S280" i="2"/>
  <c r="R280" i="2"/>
  <c r="Q280" i="2"/>
  <c r="T279" i="2"/>
  <c r="S279" i="2"/>
  <c r="R279" i="2"/>
  <c r="Q279" i="2"/>
  <c r="T278" i="2"/>
  <c r="S278" i="2"/>
  <c r="R278" i="2"/>
  <c r="Q278" i="2"/>
  <c r="T86" i="2"/>
  <c r="S86" i="2"/>
  <c r="R86" i="2"/>
  <c r="Q86" i="2"/>
  <c r="T85" i="2"/>
  <c r="S85" i="2"/>
  <c r="R85" i="2"/>
  <c r="Q85" i="2"/>
  <c r="U85" i="2" s="1"/>
  <c r="T277" i="2"/>
  <c r="S277" i="2"/>
  <c r="R277" i="2"/>
  <c r="Q277" i="2"/>
  <c r="T276" i="2"/>
  <c r="S276" i="2"/>
  <c r="R276" i="2"/>
  <c r="Q276" i="2"/>
  <c r="T275" i="2"/>
  <c r="S275" i="2"/>
  <c r="R275" i="2"/>
  <c r="Q275" i="2"/>
  <c r="T274" i="2"/>
  <c r="S274" i="2"/>
  <c r="R274" i="2"/>
  <c r="Q274" i="2"/>
  <c r="T20" i="2"/>
  <c r="S20" i="2"/>
  <c r="R20" i="2"/>
  <c r="Q20" i="2"/>
  <c r="T47" i="2"/>
  <c r="S47" i="2"/>
  <c r="R47" i="2"/>
  <c r="Q47" i="2"/>
  <c r="T19" i="2"/>
  <c r="S19" i="2"/>
  <c r="R19" i="2"/>
  <c r="Q19" i="2"/>
  <c r="T273" i="2"/>
  <c r="S273" i="2"/>
  <c r="R273" i="2"/>
  <c r="Q273" i="2"/>
  <c r="T272" i="2"/>
  <c r="S272" i="2"/>
  <c r="R272" i="2"/>
  <c r="Q272" i="2"/>
  <c r="T25" i="2"/>
  <c r="S25" i="2"/>
  <c r="R25" i="2"/>
  <c r="Q25" i="2"/>
  <c r="U25" i="2" s="1"/>
  <c r="T88" i="2"/>
  <c r="S88" i="2"/>
  <c r="R88" i="2"/>
  <c r="Q88" i="2"/>
  <c r="T271" i="2"/>
  <c r="S271" i="2"/>
  <c r="R271" i="2"/>
  <c r="Q271" i="2"/>
  <c r="T270" i="2"/>
  <c r="S270" i="2"/>
  <c r="R270" i="2"/>
  <c r="Q270" i="2"/>
  <c r="T269" i="2"/>
  <c r="S269" i="2"/>
  <c r="R269" i="2"/>
  <c r="Q269" i="2"/>
  <c r="T268" i="2"/>
  <c r="S268" i="2"/>
  <c r="R268" i="2"/>
  <c r="Q268" i="2"/>
  <c r="T267" i="2"/>
  <c r="S267" i="2"/>
  <c r="R267" i="2"/>
  <c r="Q267" i="2"/>
  <c r="T266" i="2"/>
  <c r="S266" i="2"/>
  <c r="R266" i="2"/>
  <c r="Q266" i="2"/>
  <c r="T265" i="2"/>
  <c r="S265" i="2"/>
  <c r="R265" i="2"/>
  <c r="Q265" i="2"/>
  <c r="T264" i="2"/>
  <c r="S264" i="2"/>
  <c r="R264" i="2"/>
  <c r="Q264" i="2"/>
  <c r="T263" i="2"/>
  <c r="S263" i="2"/>
  <c r="R263" i="2"/>
  <c r="Q263" i="2"/>
  <c r="U263" i="2" s="1"/>
  <c r="T262" i="2"/>
  <c r="S262" i="2"/>
  <c r="R262" i="2"/>
  <c r="Q262" i="2"/>
  <c r="T261" i="2"/>
  <c r="S261" i="2"/>
  <c r="R261" i="2"/>
  <c r="Q261" i="2"/>
  <c r="T10" i="2"/>
  <c r="S10" i="2"/>
  <c r="R10" i="2"/>
  <c r="Q10" i="2"/>
  <c r="T260" i="2"/>
  <c r="S260" i="2"/>
  <c r="R260" i="2"/>
  <c r="Q260" i="2"/>
  <c r="T259" i="2"/>
  <c r="S259" i="2"/>
  <c r="R259" i="2"/>
  <c r="Q259" i="2"/>
  <c r="T258" i="2"/>
  <c r="S258" i="2"/>
  <c r="R258" i="2"/>
  <c r="Q258" i="2"/>
  <c r="T6" i="2"/>
  <c r="S6" i="2"/>
  <c r="R6" i="2"/>
  <c r="Q6" i="2"/>
  <c r="T257" i="2"/>
  <c r="S257" i="2"/>
  <c r="R257" i="2"/>
  <c r="Q257" i="2"/>
  <c r="T84" i="2"/>
  <c r="S84" i="2"/>
  <c r="R84" i="2"/>
  <c r="Q84" i="2"/>
  <c r="T256" i="2"/>
  <c r="S256" i="2"/>
  <c r="R256" i="2"/>
  <c r="Q256" i="2"/>
  <c r="U256" i="2" s="1"/>
  <c r="T46" i="2"/>
  <c r="S46" i="2"/>
  <c r="R46" i="2"/>
  <c r="Q46" i="2"/>
  <c r="T255" i="2"/>
  <c r="S255" i="2"/>
  <c r="R255" i="2"/>
  <c r="Q255" i="2"/>
  <c r="T72" i="2"/>
  <c r="S72" i="2"/>
  <c r="R72" i="2"/>
  <c r="Q72" i="2"/>
  <c r="T254" i="2"/>
  <c r="S254" i="2"/>
  <c r="R254" i="2"/>
  <c r="Q254" i="2"/>
  <c r="T18" i="2"/>
  <c r="S18" i="2"/>
  <c r="R18" i="2"/>
  <c r="Q18" i="2"/>
  <c r="T253" i="2"/>
  <c r="S253" i="2"/>
  <c r="R253" i="2"/>
  <c r="Q253" i="2"/>
  <c r="T4" i="2"/>
  <c r="S4" i="2"/>
  <c r="R4" i="2"/>
  <c r="Q4" i="2"/>
  <c r="T252" i="2"/>
  <c r="S252" i="2"/>
  <c r="R252" i="2"/>
  <c r="Q252" i="2"/>
  <c r="T9" i="2"/>
  <c r="S9" i="2"/>
  <c r="R9" i="2"/>
  <c r="Q9" i="2"/>
  <c r="T87" i="2"/>
  <c r="S87" i="2"/>
  <c r="R87" i="2"/>
  <c r="Q87" i="2"/>
  <c r="U87" i="2" s="1"/>
  <c r="T17" i="2"/>
  <c r="S17" i="2"/>
  <c r="R17" i="2"/>
  <c r="Q17" i="2"/>
  <c r="T251" i="2"/>
  <c r="S251" i="2"/>
  <c r="R251" i="2"/>
  <c r="Q251" i="2"/>
  <c r="T250" i="2"/>
  <c r="S250" i="2"/>
  <c r="R250" i="2"/>
  <c r="Q250" i="2"/>
  <c r="T249" i="2"/>
  <c r="S249" i="2"/>
  <c r="R249" i="2"/>
  <c r="Q249" i="2"/>
  <c r="T248" i="2"/>
  <c r="S248" i="2"/>
  <c r="R248" i="2"/>
  <c r="Q248" i="2"/>
  <c r="T247" i="2"/>
  <c r="S247" i="2"/>
  <c r="R247" i="2"/>
  <c r="Q247" i="2"/>
  <c r="T246" i="2"/>
  <c r="S246" i="2"/>
  <c r="R246" i="2"/>
  <c r="Q246" i="2"/>
  <c r="T245" i="2"/>
  <c r="S245" i="2"/>
  <c r="R245" i="2"/>
  <c r="Q245" i="2"/>
  <c r="T244" i="2"/>
  <c r="S244" i="2"/>
  <c r="R244" i="2"/>
  <c r="Q244" i="2"/>
  <c r="T243" i="2"/>
  <c r="S243" i="2"/>
  <c r="R243" i="2"/>
  <c r="Q243" i="2"/>
  <c r="U243" i="2" s="1"/>
  <c r="T45" i="2"/>
  <c r="S45" i="2"/>
  <c r="R45" i="2"/>
  <c r="Q45" i="2"/>
  <c r="T242" i="2"/>
  <c r="S242" i="2"/>
  <c r="R242" i="2"/>
  <c r="Q242" i="2"/>
  <c r="T8" i="2"/>
  <c r="S8" i="2"/>
  <c r="R8" i="2"/>
  <c r="Q8" i="2"/>
  <c r="T241" i="2"/>
  <c r="S241" i="2"/>
  <c r="R241" i="2"/>
  <c r="Q241" i="2"/>
  <c r="T240" i="2"/>
  <c r="S240" i="2"/>
  <c r="R240" i="2"/>
  <c r="Q240" i="2"/>
  <c r="T239" i="2"/>
  <c r="S239" i="2"/>
  <c r="R239" i="2"/>
  <c r="Q239" i="2"/>
  <c r="T44" i="2"/>
  <c r="S44" i="2"/>
  <c r="R44" i="2"/>
  <c r="Q44" i="2"/>
  <c r="T238" i="2"/>
  <c r="S238" i="2"/>
  <c r="R238" i="2"/>
  <c r="Q238" i="2"/>
  <c r="T83" i="2"/>
  <c r="S83" i="2"/>
  <c r="R83" i="2"/>
  <c r="Q83" i="2"/>
  <c r="T82" i="2"/>
  <c r="S82" i="2"/>
  <c r="R82" i="2"/>
  <c r="Q82" i="2"/>
  <c r="U82" i="2" s="1"/>
  <c r="T237" i="2"/>
  <c r="S237" i="2"/>
  <c r="R237" i="2"/>
  <c r="Q237" i="2"/>
  <c r="T71" i="2"/>
  <c r="S71" i="2"/>
  <c r="R71" i="2"/>
  <c r="Q71" i="2"/>
  <c r="T43" i="2"/>
  <c r="S43" i="2"/>
  <c r="R43" i="2"/>
  <c r="Q43" i="2"/>
  <c r="T236" i="2"/>
  <c r="S236" i="2"/>
  <c r="R236" i="2"/>
  <c r="Q236" i="2"/>
  <c r="T42" i="2"/>
  <c r="S42" i="2"/>
  <c r="R42" i="2"/>
  <c r="Q42" i="2"/>
  <c r="T235" i="2"/>
  <c r="S235" i="2"/>
  <c r="R235" i="2"/>
  <c r="Q235" i="2"/>
  <c r="T16" i="2"/>
  <c r="S16" i="2"/>
  <c r="R16" i="2"/>
  <c r="Q16" i="2"/>
  <c r="T234" i="2"/>
  <c r="S234" i="2"/>
  <c r="R234" i="2"/>
  <c r="Q234" i="2"/>
  <c r="T7" i="2"/>
  <c r="S7" i="2"/>
  <c r="R7" i="2"/>
  <c r="Q7" i="2"/>
  <c r="T70" i="2"/>
  <c r="S70" i="2"/>
  <c r="R70" i="2"/>
  <c r="Q70" i="2"/>
  <c r="U70" i="2" s="1"/>
  <c r="T233" i="2"/>
  <c r="S233" i="2"/>
  <c r="R233" i="2"/>
  <c r="Q233" i="2"/>
  <c r="T232" i="2"/>
  <c r="S232" i="2"/>
  <c r="R232" i="2"/>
  <c r="Q232" i="2"/>
  <c r="T231" i="2"/>
  <c r="S231" i="2"/>
  <c r="R231" i="2"/>
  <c r="Q231" i="2"/>
  <c r="T230" i="2"/>
  <c r="S230" i="2"/>
  <c r="R230" i="2"/>
  <c r="Q230" i="2"/>
  <c r="T229" i="2"/>
  <c r="S229" i="2"/>
  <c r="R229" i="2"/>
  <c r="Q229" i="2"/>
  <c r="T228" i="2"/>
  <c r="S228" i="2"/>
  <c r="R228" i="2"/>
  <c r="Q228" i="2"/>
  <c r="T227" i="2"/>
  <c r="S227" i="2"/>
  <c r="R227" i="2"/>
  <c r="Q227" i="2"/>
  <c r="T226" i="2"/>
  <c r="S226" i="2"/>
  <c r="R226" i="2"/>
  <c r="Q226" i="2"/>
  <c r="T225" i="2"/>
  <c r="S225" i="2"/>
  <c r="R225" i="2"/>
  <c r="Q225" i="2"/>
  <c r="T224" i="2"/>
  <c r="S224" i="2"/>
  <c r="R224" i="2"/>
  <c r="Q224" i="2"/>
  <c r="U224" i="2" s="1"/>
  <c r="T41" i="2"/>
  <c r="S41" i="2"/>
  <c r="R41" i="2"/>
  <c r="Q41" i="2"/>
  <c r="T223" i="2"/>
  <c r="S223" i="2"/>
  <c r="R223" i="2"/>
  <c r="Q223" i="2"/>
  <c r="T222" i="2"/>
  <c r="S222" i="2"/>
  <c r="R222" i="2"/>
  <c r="Q222" i="2"/>
  <c r="T221" i="2"/>
  <c r="S221" i="2"/>
  <c r="R221" i="2"/>
  <c r="Q221" i="2"/>
  <c r="T220" i="2"/>
  <c r="S220" i="2"/>
  <c r="R220" i="2"/>
  <c r="Q220" i="2"/>
  <c r="T219" i="2"/>
  <c r="S219" i="2"/>
  <c r="R219" i="2"/>
  <c r="Q219" i="2"/>
  <c r="T218" i="2"/>
  <c r="S218" i="2"/>
  <c r="R218" i="2"/>
  <c r="Q218" i="2"/>
  <c r="T217" i="2"/>
  <c r="S217" i="2"/>
  <c r="R217" i="2"/>
  <c r="Q217" i="2"/>
  <c r="T40" i="2"/>
  <c r="S40" i="2"/>
  <c r="R40" i="2"/>
  <c r="Q40" i="2"/>
  <c r="T39" i="2"/>
  <c r="S39" i="2"/>
  <c r="R39" i="2"/>
  <c r="Q39" i="2"/>
  <c r="U39" i="2" s="1"/>
  <c r="T216" i="2"/>
  <c r="S216" i="2"/>
  <c r="R216" i="2"/>
  <c r="Q216" i="2"/>
  <c r="T215" i="2"/>
  <c r="S215" i="2"/>
  <c r="R215" i="2"/>
  <c r="Q215" i="2"/>
  <c r="T214" i="2"/>
  <c r="S214" i="2"/>
  <c r="R214" i="2"/>
  <c r="Q214" i="2"/>
  <c r="T213" i="2"/>
  <c r="S213" i="2"/>
  <c r="R213" i="2"/>
  <c r="Q213" i="2"/>
  <c r="T38" i="2"/>
  <c r="S38" i="2"/>
  <c r="R38" i="2"/>
  <c r="Q38" i="2"/>
  <c r="T69" i="2"/>
  <c r="S69" i="2"/>
  <c r="R69" i="2"/>
  <c r="Q69" i="2"/>
  <c r="T68" i="2"/>
  <c r="S68" i="2"/>
  <c r="R68" i="2"/>
  <c r="Q68" i="2"/>
  <c r="T212" i="2"/>
  <c r="S212" i="2"/>
  <c r="R212" i="2"/>
  <c r="Q212" i="2"/>
  <c r="T37" i="2"/>
  <c r="S37" i="2"/>
  <c r="R37" i="2"/>
  <c r="Q37" i="2"/>
  <c r="T15" i="2"/>
  <c r="S15" i="2"/>
  <c r="R15" i="2"/>
  <c r="Q15" i="2"/>
  <c r="U15" i="2" s="1"/>
  <c r="T211" i="2"/>
  <c r="S211" i="2"/>
  <c r="R211" i="2"/>
  <c r="Q211" i="2"/>
  <c r="T210" i="2"/>
  <c r="S210" i="2"/>
  <c r="R210" i="2"/>
  <c r="Q210" i="2"/>
  <c r="T209" i="2"/>
  <c r="S209" i="2"/>
  <c r="R209" i="2"/>
  <c r="Q209" i="2"/>
  <c r="T208" i="2"/>
  <c r="S208" i="2"/>
  <c r="R208" i="2"/>
  <c r="Q208" i="2"/>
  <c r="T207" i="2"/>
  <c r="S207" i="2"/>
  <c r="R207" i="2"/>
  <c r="Q207" i="2"/>
  <c r="T206" i="2"/>
  <c r="S206" i="2"/>
  <c r="R206" i="2"/>
  <c r="Q206" i="2"/>
  <c r="T81" i="2"/>
  <c r="S81" i="2"/>
  <c r="R81" i="2"/>
  <c r="Q81" i="2"/>
  <c r="T205" i="2"/>
  <c r="S205" i="2"/>
  <c r="R205" i="2"/>
  <c r="Q205" i="2"/>
  <c r="T204" i="2"/>
  <c r="S204" i="2"/>
  <c r="R204" i="2"/>
  <c r="Q204" i="2"/>
  <c r="T203" i="2"/>
  <c r="S203" i="2"/>
  <c r="R203" i="2"/>
  <c r="Q203" i="2"/>
  <c r="U203" i="2" s="1"/>
  <c r="T36" i="2"/>
  <c r="S36" i="2"/>
  <c r="R36" i="2"/>
  <c r="Q36" i="2"/>
  <c r="T202" i="2"/>
  <c r="S202" i="2"/>
  <c r="R202" i="2"/>
  <c r="Q202" i="2"/>
  <c r="T67" i="2"/>
  <c r="S67" i="2"/>
  <c r="R67" i="2"/>
  <c r="Q67" i="2"/>
  <c r="T201" i="2"/>
  <c r="S201" i="2"/>
  <c r="R201" i="2"/>
  <c r="Q201" i="2"/>
  <c r="T200" i="2"/>
  <c r="S200" i="2"/>
  <c r="R200" i="2"/>
  <c r="Q200" i="2"/>
  <c r="T199" i="2"/>
  <c r="S199" i="2"/>
  <c r="R199" i="2"/>
  <c r="Q199" i="2"/>
  <c r="T198" i="2"/>
  <c r="S198" i="2"/>
  <c r="R198" i="2"/>
  <c r="Q198" i="2"/>
  <c r="T197" i="2"/>
  <c r="S197" i="2"/>
  <c r="R197" i="2"/>
  <c r="Q197" i="2"/>
  <c r="T196" i="2"/>
  <c r="S196" i="2"/>
  <c r="R196" i="2"/>
  <c r="Q196" i="2"/>
  <c r="T195" i="2"/>
  <c r="S195" i="2"/>
  <c r="R195" i="2"/>
  <c r="Q195" i="2"/>
  <c r="U195" i="2" s="1"/>
  <c r="T194" i="2"/>
  <c r="S194" i="2"/>
  <c r="R194" i="2"/>
  <c r="Q194" i="2"/>
  <c r="T193" i="2"/>
  <c r="S193" i="2"/>
  <c r="R193" i="2"/>
  <c r="Q193" i="2"/>
  <c r="T192" i="2"/>
  <c r="S192" i="2"/>
  <c r="R192" i="2"/>
  <c r="Q192" i="2"/>
  <c r="T191" i="2"/>
  <c r="S191" i="2"/>
  <c r="R191" i="2"/>
  <c r="Q191" i="2"/>
  <c r="T190" i="2"/>
  <c r="S190" i="2"/>
  <c r="R190" i="2"/>
  <c r="Q190" i="2"/>
  <c r="T189" i="2"/>
  <c r="S189" i="2"/>
  <c r="R189" i="2"/>
  <c r="Q189" i="2"/>
  <c r="T188" i="2"/>
  <c r="S188" i="2"/>
  <c r="R188" i="2"/>
  <c r="Q188" i="2"/>
  <c r="T187" i="2"/>
  <c r="S187" i="2"/>
  <c r="R187" i="2"/>
  <c r="Q187" i="2"/>
  <c r="T186" i="2"/>
  <c r="S186" i="2"/>
  <c r="R186" i="2"/>
  <c r="Q186" i="2"/>
  <c r="T66" i="2"/>
  <c r="S66" i="2"/>
  <c r="R66" i="2"/>
  <c r="Q66" i="2"/>
  <c r="U66" i="2" s="1"/>
  <c r="T35" i="2"/>
  <c r="S35" i="2"/>
  <c r="R35" i="2"/>
  <c r="Q35" i="2"/>
  <c r="T185" i="2"/>
  <c r="S185" i="2"/>
  <c r="R185" i="2"/>
  <c r="Q185" i="2"/>
  <c r="T184" i="2"/>
  <c r="S184" i="2"/>
  <c r="R184" i="2"/>
  <c r="Q184" i="2"/>
  <c r="T183" i="2"/>
  <c r="S183" i="2"/>
  <c r="R183" i="2"/>
  <c r="Q183" i="2"/>
  <c r="T182" i="2"/>
  <c r="S182" i="2"/>
  <c r="R182" i="2"/>
  <c r="Q182" i="2"/>
  <c r="T181" i="2"/>
  <c r="S181" i="2"/>
  <c r="R181" i="2"/>
  <c r="Q181" i="2"/>
  <c r="T180" i="2"/>
  <c r="S180" i="2"/>
  <c r="R180" i="2"/>
  <c r="Q180" i="2"/>
  <c r="T179" i="2"/>
  <c r="S179" i="2"/>
  <c r="R179" i="2"/>
  <c r="Q179" i="2"/>
  <c r="T178" i="2"/>
  <c r="S178" i="2"/>
  <c r="R178" i="2"/>
  <c r="Q178" i="2"/>
  <c r="T177" i="2"/>
  <c r="S177" i="2"/>
  <c r="R177" i="2"/>
  <c r="Q177" i="2"/>
  <c r="U177" i="2" s="1"/>
  <c r="T34" i="2"/>
  <c r="S34" i="2"/>
  <c r="R34" i="2"/>
  <c r="Q34" i="2"/>
  <c r="T176" i="2"/>
  <c r="S176" i="2"/>
  <c r="R176" i="2"/>
  <c r="Q176" i="2"/>
  <c r="T175" i="2"/>
  <c r="S175" i="2"/>
  <c r="R175" i="2"/>
  <c r="Q175" i="2"/>
  <c r="T174" i="2"/>
  <c r="S174" i="2"/>
  <c r="R174" i="2"/>
  <c r="Q174" i="2"/>
  <c r="T173" i="2"/>
  <c r="S173" i="2"/>
  <c r="R173" i="2"/>
  <c r="Q173" i="2"/>
  <c r="T172" i="2"/>
  <c r="S172" i="2"/>
  <c r="R172" i="2"/>
  <c r="Q172" i="2"/>
  <c r="T171" i="2"/>
  <c r="S171" i="2"/>
  <c r="R171" i="2"/>
  <c r="Q171" i="2"/>
  <c r="T65" i="2"/>
  <c r="S65" i="2"/>
  <c r="R65" i="2"/>
  <c r="Q65" i="2"/>
  <c r="T170" i="2"/>
  <c r="S170" i="2"/>
  <c r="R170" i="2"/>
  <c r="Q170" i="2"/>
  <c r="T169" i="2"/>
  <c r="S169" i="2"/>
  <c r="R169" i="2"/>
  <c r="Q169" i="2"/>
  <c r="U169" i="2" s="1"/>
  <c r="T168" i="2"/>
  <c r="S168" i="2"/>
  <c r="R168" i="2"/>
  <c r="Q168" i="2"/>
  <c r="T167" i="2"/>
  <c r="S167" i="2"/>
  <c r="R167" i="2"/>
  <c r="Q167" i="2"/>
  <c r="T166" i="2"/>
  <c r="S166" i="2"/>
  <c r="R166" i="2"/>
  <c r="Q166" i="2"/>
  <c r="T165" i="2"/>
  <c r="S165" i="2"/>
  <c r="R165" i="2"/>
  <c r="Q165" i="2"/>
  <c r="T164" i="2"/>
  <c r="S164" i="2"/>
  <c r="R164" i="2"/>
  <c r="Q164" i="2"/>
  <c r="T163" i="2"/>
  <c r="S163" i="2"/>
  <c r="R163" i="2"/>
  <c r="Q163" i="2"/>
  <c r="T162" i="2"/>
  <c r="S162" i="2"/>
  <c r="R162" i="2"/>
  <c r="Q162" i="2"/>
  <c r="T161" i="2"/>
  <c r="S161" i="2"/>
  <c r="R161" i="2"/>
  <c r="Q161" i="2"/>
  <c r="T160" i="2"/>
  <c r="S160" i="2"/>
  <c r="R160" i="2"/>
  <c r="Q160" i="2"/>
  <c r="T64" i="2"/>
  <c r="S64" i="2"/>
  <c r="R64" i="2"/>
  <c r="Q64" i="2"/>
  <c r="U64" i="2" s="1"/>
  <c r="T159" i="2"/>
  <c r="S159" i="2"/>
  <c r="R159" i="2"/>
  <c r="Q159" i="2"/>
  <c r="T158" i="2"/>
  <c r="S158" i="2"/>
  <c r="R158" i="2"/>
  <c r="Q158" i="2"/>
  <c r="T157" i="2"/>
  <c r="S157" i="2"/>
  <c r="R157" i="2"/>
  <c r="Q157" i="2"/>
  <c r="T156" i="2"/>
  <c r="S156" i="2"/>
  <c r="R156" i="2"/>
  <c r="Q156" i="2"/>
  <c r="T155" i="2"/>
  <c r="S155" i="2"/>
  <c r="R155" i="2"/>
  <c r="Q155" i="2"/>
  <c r="T154" i="2"/>
  <c r="S154" i="2"/>
  <c r="R154" i="2"/>
  <c r="Q154" i="2"/>
  <c r="T153" i="2"/>
  <c r="S153" i="2"/>
  <c r="R153" i="2"/>
  <c r="Q153" i="2"/>
  <c r="T152" i="2"/>
  <c r="S152" i="2"/>
  <c r="R152" i="2"/>
  <c r="Q152" i="2"/>
  <c r="T151" i="2"/>
  <c r="S151" i="2"/>
  <c r="R151" i="2"/>
  <c r="Q151" i="2"/>
  <c r="T150" i="2"/>
  <c r="S150" i="2"/>
  <c r="R150" i="2"/>
  <c r="Q150" i="2"/>
  <c r="U150" i="2" s="1"/>
  <c r="T33" i="2"/>
  <c r="S33" i="2"/>
  <c r="R33" i="2"/>
  <c r="Q33" i="2"/>
  <c r="T149" i="2"/>
  <c r="S149" i="2"/>
  <c r="R149" i="2"/>
  <c r="Q149" i="2"/>
  <c r="T32" i="2"/>
  <c r="S32" i="2"/>
  <c r="R32" i="2"/>
  <c r="Q32" i="2"/>
  <c r="T148" i="2"/>
  <c r="S148" i="2"/>
  <c r="R148" i="2"/>
  <c r="Q148" i="2"/>
  <c r="T147" i="2"/>
  <c r="S147" i="2"/>
  <c r="R147" i="2"/>
  <c r="Q147" i="2"/>
  <c r="T146" i="2"/>
  <c r="S146" i="2"/>
  <c r="R146" i="2"/>
  <c r="Q146" i="2"/>
  <c r="T145" i="2"/>
  <c r="S145" i="2"/>
  <c r="R145" i="2"/>
  <c r="Q145" i="2"/>
  <c r="T144" i="2"/>
  <c r="S144" i="2"/>
  <c r="R144" i="2"/>
  <c r="Q144" i="2"/>
  <c r="T143" i="2"/>
  <c r="S143" i="2"/>
  <c r="R143" i="2"/>
  <c r="Q143" i="2"/>
  <c r="T142" i="2"/>
  <c r="S142" i="2"/>
  <c r="R142" i="2"/>
  <c r="Q142" i="2"/>
  <c r="U142" i="2" s="1"/>
  <c r="T141" i="2"/>
  <c r="S141" i="2"/>
  <c r="R141" i="2"/>
  <c r="Q141" i="2"/>
  <c r="T140" i="2"/>
  <c r="S140" i="2"/>
  <c r="R140" i="2"/>
  <c r="Q140" i="2"/>
  <c r="T63" i="2"/>
  <c r="S63" i="2"/>
  <c r="R63" i="2"/>
  <c r="Q63" i="2"/>
  <c r="T139" i="2"/>
  <c r="S139" i="2"/>
  <c r="R139" i="2"/>
  <c r="Q139" i="2"/>
  <c r="T62" i="2"/>
  <c r="S62" i="2"/>
  <c r="R62" i="2"/>
  <c r="Q62" i="2"/>
  <c r="T138" i="2"/>
  <c r="S138" i="2"/>
  <c r="R138" i="2"/>
  <c r="Q138" i="2"/>
  <c r="T137" i="2"/>
  <c r="S137" i="2"/>
  <c r="R137" i="2"/>
  <c r="Q137" i="2"/>
  <c r="T136" i="2"/>
  <c r="S136" i="2"/>
  <c r="R136" i="2"/>
  <c r="Q136" i="2"/>
  <c r="T135" i="2"/>
  <c r="S135" i="2"/>
  <c r="R135" i="2"/>
  <c r="Q135" i="2"/>
  <c r="T134" i="2"/>
  <c r="S134" i="2"/>
  <c r="R134" i="2"/>
  <c r="Q134" i="2"/>
  <c r="U134" i="2" s="1"/>
  <c r="T133" i="2"/>
  <c r="S133" i="2"/>
  <c r="R133" i="2"/>
  <c r="Q133" i="2"/>
  <c r="T132" i="2"/>
  <c r="S132" i="2"/>
  <c r="R132" i="2"/>
  <c r="Q132" i="2"/>
  <c r="T131" i="2"/>
  <c r="S131" i="2"/>
  <c r="R131" i="2"/>
  <c r="Q131" i="2"/>
  <c r="T130" i="2"/>
  <c r="S130" i="2"/>
  <c r="R130" i="2"/>
  <c r="Q130" i="2"/>
  <c r="T129" i="2"/>
  <c r="S129" i="2"/>
  <c r="R129" i="2"/>
  <c r="Q129" i="2"/>
  <c r="T128" i="2"/>
  <c r="S128" i="2"/>
  <c r="R128" i="2"/>
  <c r="Q128" i="2"/>
  <c r="T127" i="2"/>
  <c r="S127" i="2"/>
  <c r="R127" i="2"/>
  <c r="Q127" i="2"/>
  <c r="T61" i="2"/>
  <c r="S61" i="2"/>
  <c r="R61" i="2"/>
  <c r="Q61" i="2"/>
  <c r="T126" i="2"/>
  <c r="S126" i="2"/>
  <c r="R126" i="2"/>
  <c r="Q126" i="2"/>
  <c r="T125" i="2"/>
  <c r="S125" i="2"/>
  <c r="R125" i="2"/>
  <c r="Q125" i="2"/>
  <c r="U125" i="2" s="1"/>
  <c r="T124" i="2"/>
  <c r="S124" i="2"/>
  <c r="R124" i="2"/>
  <c r="Q124" i="2"/>
  <c r="T123" i="2"/>
  <c r="S123" i="2"/>
  <c r="R123" i="2"/>
  <c r="Q123" i="2"/>
  <c r="T122" i="2"/>
  <c r="S122" i="2"/>
  <c r="R122" i="2"/>
  <c r="Q122" i="2"/>
  <c r="T121" i="2"/>
  <c r="S121" i="2"/>
  <c r="R121" i="2"/>
  <c r="Q121" i="2"/>
  <c r="T120" i="2"/>
  <c r="S120" i="2"/>
  <c r="R120" i="2"/>
  <c r="Q120" i="2"/>
  <c r="T119" i="2"/>
  <c r="S119" i="2"/>
  <c r="R119" i="2"/>
  <c r="Q119" i="2"/>
  <c r="T118" i="2"/>
  <c r="S118" i="2"/>
  <c r="R118" i="2"/>
  <c r="Q118" i="2"/>
  <c r="T60" i="2"/>
  <c r="S60" i="2"/>
  <c r="R60" i="2"/>
  <c r="Q60" i="2"/>
  <c r="T59" i="2"/>
  <c r="S59" i="2"/>
  <c r="R59" i="2"/>
  <c r="Q59" i="2"/>
  <c r="T117" i="2"/>
  <c r="S117" i="2"/>
  <c r="R117" i="2"/>
  <c r="Q117" i="2"/>
  <c r="U117" i="2" s="1"/>
  <c r="T116" i="2"/>
  <c r="S116" i="2"/>
  <c r="R116" i="2"/>
  <c r="Q116" i="2"/>
  <c r="T115" i="2"/>
  <c r="S115" i="2"/>
  <c r="R115" i="2"/>
  <c r="Q115" i="2"/>
  <c r="T114" i="2"/>
  <c r="S114" i="2"/>
  <c r="R114" i="2"/>
  <c r="Q114" i="2"/>
  <c r="T113" i="2"/>
  <c r="S113" i="2"/>
  <c r="R113" i="2"/>
  <c r="Q113" i="2"/>
  <c r="T112" i="2"/>
  <c r="S112" i="2"/>
  <c r="R112" i="2"/>
  <c r="Q112" i="2"/>
  <c r="T111" i="2"/>
  <c r="S111" i="2"/>
  <c r="R111" i="2"/>
  <c r="Q111" i="2"/>
  <c r="T31" i="2"/>
  <c r="S31" i="2"/>
  <c r="R31" i="2"/>
  <c r="Q31" i="2"/>
  <c r="T58" i="2"/>
  <c r="S58" i="2"/>
  <c r="R58" i="2"/>
  <c r="Q58" i="2"/>
  <c r="T110" i="2"/>
  <c r="S110" i="2"/>
  <c r="R110" i="2"/>
  <c r="Q110" i="2"/>
  <c r="T57" i="2"/>
  <c r="S57" i="2"/>
  <c r="R57" i="2"/>
  <c r="Q57" i="2"/>
  <c r="U57" i="2" s="1"/>
  <c r="T109" i="2"/>
  <c r="S109" i="2"/>
  <c r="R109" i="2"/>
  <c r="Q109" i="2"/>
  <c r="T108" i="2"/>
  <c r="S108" i="2"/>
  <c r="R108" i="2"/>
  <c r="Q108" i="2"/>
  <c r="T107" i="2"/>
  <c r="S107" i="2"/>
  <c r="R107" i="2"/>
  <c r="Q107" i="2"/>
  <c r="T106" i="2"/>
  <c r="S106" i="2"/>
  <c r="R106" i="2"/>
  <c r="Q106" i="2"/>
  <c r="T105" i="2"/>
  <c r="S105" i="2"/>
  <c r="R105" i="2"/>
  <c r="Q105" i="2"/>
  <c r="T104" i="2"/>
  <c r="S104" i="2"/>
  <c r="R104" i="2"/>
  <c r="Q104" i="2"/>
  <c r="T103" i="2"/>
  <c r="S103" i="2"/>
  <c r="R103" i="2"/>
  <c r="Q103" i="2"/>
  <c r="T102" i="2"/>
  <c r="S102" i="2"/>
  <c r="R102" i="2"/>
  <c r="Q102" i="2"/>
  <c r="T101" i="2"/>
  <c r="S101" i="2"/>
  <c r="R101" i="2"/>
  <c r="Q101" i="2"/>
  <c r="T100" i="2"/>
  <c r="S100" i="2"/>
  <c r="R100" i="2"/>
  <c r="Q100" i="2"/>
  <c r="U100" i="2" s="1"/>
  <c r="T99" i="2"/>
  <c r="S99" i="2"/>
  <c r="R99" i="2"/>
  <c r="Q99" i="2"/>
  <c r="T98" i="2"/>
  <c r="S98" i="2"/>
  <c r="R98" i="2"/>
  <c r="Q98" i="2"/>
  <c r="T56" i="2"/>
  <c r="S56" i="2"/>
  <c r="R56" i="2"/>
  <c r="Q56" i="2"/>
  <c r="T97" i="2"/>
  <c r="S97" i="2"/>
  <c r="R97" i="2"/>
  <c r="Q97" i="2"/>
  <c r="O1" i="2"/>
  <c r="N1" i="2"/>
  <c r="M1" i="2"/>
  <c r="L1" i="2"/>
  <c r="K1" i="2"/>
  <c r="J1" i="2"/>
  <c r="U58" i="2" l="1"/>
  <c r="U161" i="2"/>
  <c r="U375" i="2"/>
  <c r="Y10" i="2"/>
  <c r="Y11" i="2"/>
  <c r="U104" i="2"/>
  <c r="U109" i="2"/>
  <c r="U111" i="2"/>
  <c r="U116" i="2"/>
  <c r="U119" i="2"/>
  <c r="U124" i="2"/>
  <c r="U128" i="2"/>
  <c r="U133" i="2"/>
  <c r="U138" i="2"/>
  <c r="U154" i="2"/>
  <c r="U235" i="2"/>
  <c r="U141" i="2"/>
  <c r="U146" i="2"/>
  <c r="U33" i="2"/>
  <c r="U159" i="2"/>
  <c r="U163" i="2"/>
  <c r="U369" i="2"/>
  <c r="Y6" i="2"/>
  <c r="U217" i="2"/>
  <c r="Y7" i="2"/>
  <c r="U205" i="2"/>
  <c r="U286" i="2"/>
  <c r="U320" i="2"/>
  <c r="Y8" i="2"/>
  <c r="U187" i="2"/>
  <c r="U252" i="2"/>
  <c r="U388" i="2"/>
  <c r="U370" i="2"/>
  <c r="U378" i="2"/>
  <c r="U342" i="2"/>
  <c r="U103" i="2"/>
  <c r="U118" i="2"/>
  <c r="U137" i="2"/>
  <c r="U266" i="2"/>
  <c r="U301" i="2"/>
  <c r="U13" i="2"/>
  <c r="U97" i="2"/>
  <c r="U101" i="2"/>
  <c r="U106" i="2"/>
  <c r="U110" i="2"/>
  <c r="U113" i="2"/>
  <c r="U59" i="2"/>
  <c r="U121" i="2"/>
  <c r="U126" i="2"/>
  <c r="U130" i="2"/>
  <c r="U135" i="2"/>
  <c r="U139" i="2"/>
  <c r="U143" i="2"/>
  <c r="U148" i="2"/>
  <c r="U151" i="2"/>
  <c r="U156" i="2"/>
  <c r="U160" i="2"/>
  <c r="U165" i="2"/>
  <c r="U170" i="2"/>
  <c r="U174" i="2"/>
  <c r="U178" i="2"/>
  <c r="U183" i="2"/>
  <c r="U186" i="2"/>
  <c r="U191" i="2"/>
  <c r="U196" i="2"/>
  <c r="U201" i="2"/>
  <c r="U204" i="2"/>
  <c r="U208" i="2"/>
  <c r="U37" i="2"/>
  <c r="U213" i="2"/>
  <c r="U40" i="2"/>
  <c r="U221" i="2"/>
  <c r="U225" i="2"/>
  <c r="U230" i="2"/>
  <c r="U7" i="2"/>
  <c r="U236" i="2"/>
  <c r="U83" i="2"/>
  <c r="U241" i="2"/>
  <c r="U244" i="2"/>
  <c r="U249" i="2"/>
  <c r="U9" i="2"/>
  <c r="U254" i="2"/>
  <c r="U84" i="2"/>
  <c r="U260" i="2"/>
  <c r="U264" i="2"/>
  <c r="U269" i="2"/>
  <c r="U272" i="2"/>
  <c r="U274" i="2"/>
  <c r="U86" i="2"/>
  <c r="U282" i="2"/>
  <c r="U285" i="2"/>
  <c r="U290" i="2"/>
  <c r="U73" i="2"/>
  <c r="U30" i="2"/>
  <c r="U359" i="2"/>
  <c r="U374" i="2"/>
  <c r="U56" i="2"/>
  <c r="U102" i="2"/>
  <c r="U107" i="2"/>
  <c r="U61" i="2"/>
  <c r="U179" i="2"/>
  <c r="U226" i="2"/>
  <c r="U360" i="2"/>
  <c r="U105" i="2"/>
  <c r="U112" i="2"/>
  <c r="U120" i="2"/>
  <c r="U129" i="2"/>
  <c r="U62" i="2"/>
  <c r="U147" i="2"/>
  <c r="U155" i="2"/>
  <c r="U164" i="2"/>
  <c r="U173" i="2"/>
  <c r="U182" i="2"/>
  <c r="U190" i="2"/>
  <c r="U200" i="2"/>
  <c r="U207" i="2"/>
  <c r="U38" i="2"/>
  <c r="U220" i="2"/>
  <c r="U229" i="2"/>
  <c r="U42" i="2"/>
  <c r="U240" i="2"/>
  <c r="U248" i="2"/>
  <c r="U18" i="2"/>
  <c r="U259" i="2"/>
  <c r="U268" i="2"/>
  <c r="U20" i="2"/>
  <c r="U281" i="2"/>
  <c r="U289" i="2"/>
  <c r="U22" i="2"/>
  <c r="U303" i="2"/>
  <c r="U312" i="2"/>
  <c r="U50" i="2"/>
  <c r="U323" i="2"/>
  <c r="U331" i="2"/>
  <c r="U337" i="2"/>
  <c r="U347" i="2"/>
  <c r="U355" i="2"/>
  <c r="U23" i="2"/>
  <c r="U31" i="2"/>
  <c r="U127" i="2"/>
  <c r="U145" i="2"/>
  <c r="U153" i="2"/>
  <c r="U162" i="2"/>
  <c r="U171" i="2"/>
  <c r="U180" i="2"/>
  <c r="U188" i="2"/>
  <c r="U198" i="2"/>
  <c r="U81" i="2"/>
  <c r="U68" i="2"/>
  <c r="U218" i="2"/>
  <c r="U227" i="2"/>
  <c r="U16" i="2"/>
  <c r="U44" i="2"/>
  <c r="U246" i="2"/>
  <c r="U4" i="2"/>
  <c r="U6" i="2"/>
  <c r="U19" i="2"/>
  <c r="U279" i="2"/>
  <c r="U287" i="2"/>
  <c r="U294" i="2"/>
  <c r="U296" i="2"/>
  <c r="U299" i="2"/>
  <c r="U304" i="2"/>
  <c r="U308" i="2"/>
  <c r="U310" i="2"/>
  <c r="U313" i="2"/>
  <c r="U24" i="2"/>
  <c r="U5" i="2"/>
  <c r="U317" i="2"/>
  <c r="U321" i="2"/>
  <c r="U324" i="2"/>
  <c r="U327" i="2"/>
  <c r="U329" i="2"/>
  <c r="U332" i="2"/>
  <c r="U76" i="2"/>
  <c r="U338" i="2"/>
  <c r="U343" i="2"/>
  <c r="U345" i="2"/>
  <c r="U348" i="2"/>
  <c r="U351" i="2"/>
  <c r="U353" i="2"/>
  <c r="U356" i="2"/>
  <c r="U361" i="2"/>
  <c r="U362" i="2"/>
  <c r="U366" i="2"/>
  <c r="U368" i="2"/>
  <c r="U78" i="2"/>
  <c r="U376" i="2"/>
  <c r="U379" i="2"/>
  <c r="U381" i="2"/>
  <c r="U383" i="2"/>
  <c r="U80" i="2"/>
  <c r="U389" i="2"/>
  <c r="U391" i="2"/>
  <c r="U99" i="2"/>
  <c r="U114" i="2"/>
  <c r="U60" i="2"/>
  <c r="U122" i="2"/>
  <c r="U131" i="2"/>
  <c r="U136" i="2"/>
  <c r="U63" i="2"/>
  <c r="U144" i="2"/>
  <c r="U32" i="2"/>
  <c r="U152" i="2"/>
  <c r="U157" i="2"/>
  <c r="U166" i="2"/>
  <c r="U65" i="2"/>
  <c r="U175" i="2"/>
  <c r="U184" i="2"/>
  <c r="U192" i="2"/>
  <c r="U197" i="2"/>
  <c r="U67" i="2"/>
  <c r="U209" i="2"/>
  <c r="U212" i="2"/>
  <c r="U214" i="2"/>
  <c r="U222" i="2"/>
  <c r="U231" i="2"/>
  <c r="U234" i="2"/>
  <c r="U43" i="2"/>
  <c r="U238" i="2"/>
  <c r="U8" i="2"/>
  <c r="U245" i="2"/>
  <c r="U250" i="2"/>
  <c r="U72" i="2"/>
  <c r="U257" i="2"/>
  <c r="U10" i="2"/>
  <c r="U265" i="2"/>
  <c r="U270" i="2"/>
  <c r="U273" i="2"/>
  <c r="U275" i="2"/>
  <c r="U278" i="2"/>
  <c r="U11" i="2"/>
  <c r="U291" i="2"/>
  <c r="U293" i="2"/>
  <c r="U48" i="2"/>
  <c r="U300" i="2"/>
  <c r="U305" i="2"/>
  <c r="U309" i="2"/>
  <c r="U314" i="2"/>
  <c r="U316" i="2"/>
  <c r="U12" i="2"/>
  <c r="U51" i="2"/>
  <c r="U328" i="2"/>
  <c r="U333" i="2"/>
  <c r="U335" i="2"/>
  <c r="U339" i="2"/>
  <c r="U344" i="2"/>
  <c r="U14" i="2"/>
  <c r="U352" i="2"/>
  <c r="U357" i="2"/>
  <c r="U77" i="2"/>
  <c r="U367" i="2"/>
  <c r="U371" i="2"/>
  <c r="U380" i="2"/>
  <c r="U385" i="2"/>
  <c r="U390" i="2"/>
  <c r="U168" i="2"/>
  <c r="U172" i="2"/>
  <c r="U34" i="2"/>
  <c r="U181" i="2"/>
  <c r="U35" i="2"/>
  <c r="U189" i="2"/>
  <c r="U194" i="2"/>
  <c r="U199" i="2"/>
  <c r="U36" i="2"/>
  <c r="U206" i="2"/>
  <c r="U211" i="2"/>
  <c r="U69" i="2"/>
  <c r="U216" i="2"/>
  <c r="U219" i="2"/>
  <c r="U41" i="2"/>
  <c r="U228" i="2"/>
  <c r="U233" i="2"/>
  <c r="U237" i="2"/>
  <c r="U239" i="2"/>
  <c r="U45" i="2"/>
  <c r="U247" i="2"/>
  <c r="U17" i="2"/>
  <c r="U253" i="2"/>
  <c r="U46" i="2"/>
  <c r="U258" i="2"/>
  <c r="U262" i="2"/>
  <c r="U267" i="2"/>
  <c r="U88" i="2"/>
  <c r="U47" i="2"/>
  <c r="U277" i="2"/>
  <c r="U280" i="2"/>
  <c r="U21" i="2"/>
  <c r="U288" i="2"/>
  <c r="U89" i="2"/>
  <c r="U295" i="2"/>
  <c r="U297" i="2"/>
  <c r="U302" i="2"/>
  <c r="U49" i="2"/>
  <c r="U311" i="2"/>
  <c r="U91" i="2"/>
  <c r="U92" i="2"/>
  <c r="U318" i="2"/>
  <c r="U322" i="2"/>
  <c r="U52" i="2"/>
  <c r="U330" i="2"/>
  <c r="U93" i="2"/>
  <c r="U336" i="2"/>
  <c r="U341" i="2"/>
  <c r="U346" i="2"/>
  <c r="U95" i="2"/>
  <c r="U354" i="2"/>
  <c r="U27" i="2"/>
  <c r="U53" i="2"/>
  <c r="U364" i="2"/>
  <c r="U372" i="2"/>
  <c r="U377" i="2"/>
  <c r="U79" i="2"/>
  <c r="U55" i="2"/>
  <c r="U387" i="2"/>
  <c r="U392" i="2"/>
  <c r="U98" i="2"/>
  <c r="U108" i="2"/>
  <c r="U115" i="2"/>
  <c r="U123" i="2"/>
  <c r="U132" i="2"/>
  <c r="U140" i="2"/>
  <c r="U149" i="2"/>
  <c r="U158" i="2"/>
  <c r="U167" i="2"/>
  <c r="U176" i="2"/>
  <c r="U185" i="2"/>
  <c r="U193" i="2"/>
  <c r="U202" i="2"/>
  <c r="U210" i="2"/>
  <c r="U215" i="2"/>
  <c r="U223" i="2"/>
  <c r="U232" i="2"/>
  <c r="U71" i="2"/>
  <c r="U242" i="2"/>
  <c r="U251" i="2"/>
  <c r="U255" i="2"/>
  <c r="U261" i="2"/>
  <c r="U271" i="2"/>
  <c r="U276" i="2"/>
  <c r="U283" i="2"/>
  <c r="U292" i="2"/>
  <c r="U74" i="2"/>
  <c r="U306" i="2"/>
  <c r="U315" i="2"/>
  <c r="U75" i="2"/>
  <c r="U325" i="2"/>
  <c r="U334" i="2"/>
  <c r="U340" i="2"/>
  <c r="U349" i="2"/>
  <c r="U358" i="2"/>
  <c r="U363" i="2"/>
  <c r="U96" i="2"/>
  <c r="U29" i="2"/>
  <c r="U386" i="2"/>
  <c r="Y2" i="2"/>
  <c r="Z2" i="2" s="1"/>
  <c r="Z11" i="2" l="1"/>
  <c r="Z8" i="2"/>
  <c r="Z9" i="2"/>
  <c r="Z10" i="2"/>
  <c r="Z7" i="2"/>
  <c r="Z6" i="2"/>
  <c r="Z4" i="2" l="1"/>
</calcChain>
</file>

<file path=xl/sharedStrings.xml><?xml version="1.0" encoding="utf-8"?>
<sst xmlns="http://schemas.openxmlformats.org/spreadsheetml/2006/main" count="9496" uniqueCount="1371">
  <si>
    <t>Date</t>
  </si>
  <si>
    <t>Waterbody</t>
  </si>
  <si>
    <t>Waterbody.edit</t>
  </si>
  <si>
    <t>Phycocyanin WHW</t>
  </si>
  <si>
    <t>Phycocyanin &gt;50</t>
  </si>
  <si>
    <t>Phycocyanin BFC</t>
  </si>
  <si>
    <t>Chlorophyll WHW</t>
  </si>
  <si>
    <t>Chlorophyll &gt;50</t>
  </si>
  <si>
    <t>Chlorophyll BFC</t>
  </si>
  <si>
    <t>Particles/ML</t>
  </si>
  <si>
    <t>Cyanobacteria Density</t>
  </si>
  <si>
    <t>Dominance</t>
  </si>
  <si>
    <t>Notes</t>
  </si>
  <si>
    <t>Bell Pond</t>
  </si>
  <si>
    <t>Bell</t>
  </si>
  <si>
    <t>none</t>
  </si>
  <si>
    <t>Burncoat Pond</t>
  </si>
  <si>
    <t>Burncoat</t>
  </si>
  <si>
    <t>low</t>
  </si>
  <si>
    <t>Dolichospermum (10%), Microcystis (90%)</t>
  </si>
  <si>
    <t>Coes Pond</t>
  </si>
  <si>
    <t>Coes.P</t>
  </si>
  <si>
    <t>NA</t>
  </si>
  <si>
    <t>Coes Reservoir</t>
  </si>
  <si>
    <t>Coes.R</t>
  </si>
  <si>
    <t>Cooks Pond</t>
  </si>
  <si>
    <t>Crooks</t>
  </si>
  <si>
    <t>Crystal Pond</t>
  </si>
  <si>
    <t>Crystal</t>
  </si>
  <si>
    <t>Curtis Pond</t>
  </si>
  <si>
    <t>Curtis</t>
  </si>
  <si>
    <t>Dark Brook Reservoir</t>
  </si>
  <si>
    <t>Dark.Brook</t>
  </si>
  <si>
    <t>East Lake Waushacum</t>
  </si>
  <si>
    <t>E.Waushacum</t>
  </si>
  <si>
    <t>Ecotarium Pond</t>
  </si>
  <si>
    <t>Ecotarium</t>
  </si>
  <si>
    <t>Elm Park Pond</t>
  </si>
  <si>
    <t>Elm</t>
  </si>
  <si>
    <t>Farm Pond</t>
  </si>
  <si>
    <t>Farm</t>
  </si>
  <si>
    <t>Flint Pond</t>
  </si>
  <si>
    <t>Flint</t>
  </si>
  <si>
    <t>Green Hill Park Pond</t>
  </si>
  <si>
    <t>Green.Hill</t>
  </si>
  <si>
    <t>Indian Lake</t>
  </si>
  <si>
    <t>Indian</t>
  </si>
  <si>
    <t>Microcystis (20%), Microcystis Debris (80%)</t>
  </si>
  <si>
    <t>Jordan Pond</t>
  </si>
  <si>
    <t>Jordan</t>
  </si>
  <si>
    <t>Kiver Pond</t>
  </si>
  <si>
    <t>Kiver</t>
  </si>
  <si>
    <t>Microcystis (100%)</t>
  </si>
  <si>
    <t>Lake Chauncy</t>
  </si>
  <si>
    <t>Chauncy</t>
  </si>
  <si>
    <t>Aphanizomenon (100%)</t>
  </si>
  <si>
    <t>Lake Lashaway</t>
  </si>
  <si>
    <t>Lashaway</t>
  </si>
  <si>
    <t>Microcystis Debris (100%)</t>
  </si>
  <si>
    <t>Lake Quinsigamond</t>
  </si>
  <si>
    <t>Quinsigamond</t>
  </si>
  <si>
    <t>Leeseville Pond</t>
  </si>
  <si>
    <t>Leesville</t>
  </si>
  <si>
    <t>Little Indian Lake</t>
  </si>
  <si>
    <t>L.Indian</t>
  </si>
  <si>
    <t>Dolichospermum (100%)</t>
  </si>
  <si>
    <t>Manchaug Pond</t>
  </si>
  <si>
    <t>Manchaug</t>
  </si>
  <si>
    <t>Newton Pond</t>
  </si>
  <si>
    <t>Newton</t>
  </si>
  <si>
    <t>Patch Pond</t>
  </si>
  <si>
    <t>Patch.P</t>
  </si>
  <si>
    <t>Patch Reservoir</t>
  </si>
  <si>
    <t>Patch.R</t>
  </si>
  <si>
    <t>Salisbury Pond</t>
  </si>
  <si>
    <t>Salisbury</t>
  </si>
  <si>
    <t>Microcystis (90%), Microcystis Debris (10%)</t>
  </si>
  <si>
    <t>Singletary Lake</t>
  </si>
  <si>
    <t>Singletary</t>
  </si>
  <si>
    <t>Stevens Pond</t>
  </si>
  <si>
    <t>Stevens</t>
  </si>
  <si>
    <t>Stoneville Pond</t>
  </si>
  <si>
    <t>Stoneville</t>
  </si>
  <si>
    <t>Dolichospermum (10%), Microcystis (10%), Microcystis Debris (80%)</t>
  </si>
  <si>
    <t>some</t>
  </si>
  <si>
    <t>Dolichospermum (80%), Microcystis Debris (20%)</t>
  </si>
  <si>
    <t>Aphanizomenon (50%), Dolichospermum (50%)</t>
  </si>
  <si>
    <t>Microcystis (33.4%), Microcystis Debris (66.6%)</t>
  </si>
  <si>
    <t>Microcystis (10%), Microcystis Debris (90%)</t>
  </si>
  <si>
    <t>Microcystis (25%), Microcystis Debris (75%)</t>
  </si>
  <si>
    <t>Lake Ellie</t>
  </si>
  <si>
    <t>Aphanizomenon (25%), Dolichospermum (75%)</t>
  </si>
  <si>
    <t>Dolichospermum (75%), Microcystis Debris (25%)</t>
  </si>
  <si>
    <t>Dolichospermum (50%), Microcystis Debris (50%)</t>
  </si>
  <si>
    <t>NAA:zero.low</t>
  </si>
  <si>
    <t>None</t>
  </si>
  <si>
    <t>high</t>
  </si>
  <si>
    <t>Dolichospermum (75%), Microcystis (25%)</t>
  </si>
  <si>
    <t>Dolichospermum (50%), Oscillatoria (50%)</t>
  </si>
  <si>
    <t>Patch Res breeze drive</t>
  </si>
  <si>
    <t>Aphanizomenon (25%), Dolichospermum (25%), Woronichinia (50%)</t>
  </si>
  <si>
    <t>Dolichospermum (50%), Microcystis (25%), Microcystis Debris (25%)</t>
  </si>
  <si>
    <t>Aphanizomenon (75%), Dolichospermum (25%)</t>
  </si>
  <si>
    <t>Dolichospermum (25%), Microcystis Debris (75%)</t>
  </si>
  <si>
    <t>Patch Res Peg's dock</t>
  </si>
  <si>
    <t>Patch Res Scum, WLW Over</t>
  </si>
  <si>
    <t>Dolichospermum (50%), Microcystis (25%)</t>
  </si>
  <si>
    <t>Aphanizomenon (50%), Dolichospermum (25%), Microcystis (25%)</t>
  </si>
  <si>
    <t>Aphanizomenon (25%), Dolichospermum (50%), Microcystis Debris (20%), Woronichinia (5%)</t>
  </si>
  <si>
    <t>Aphanizomenon (50%)</t>
  </si>
  <si>
    <t>Oscillatoria (100%)</t>
  </si>
  <si>
    <t>Low</t>
  </si>
  <si>
    <t>Oscillatoria(75%), Aphanizomenon (25%)</t>
  </si>
  <si>
    <t>Patch Breeze Dr</t>
  </si>
  <si>
    <t>Lake ellie</t>
  </si>
  <si>
    <t>Chlorphyll results inconsisten</t>
  </si>
  <si>
    <t>Aphanizomenon (25%), Dolichospermum (50%), Microcystis Debris (5%), Woronichinia (20%)</t>
  </si>
  <si>
    <t>Dolichospermum (50%), Microcystis Debris (10%), Woronichinia (40%)</t>
  </si>
  <si>
    <t>Aphanizomenon (25%), Dolichospermum (25%), Microcystis (50%)</t>
  </si>
  <si>
    <t>Aphanizomenon (10%), Dolichospermum (60%), Microcystis (10%), Microcystis Debris (20%), Woronichinia (0%)</t>
  </si>
  <si>
    <t>Aphanizomenon (40%), Dolichospermum (40%), Microcystis Debris (10%), Woronichinia (10%)</t>
  </si>
  <si>
    <t>Aphanizomenon (25%), Oscillatoria (50%), Woronichinia (25%)</t>
  </si>
  <si>
    <t>Aphanizomenon (85%), Dolichospermum (5%), Microcystis (5%)</t>
  </si>
  <si>
    <t>Dolichospermum (95%), Woronichinia (5%)</t>
  </si>
  <si>
    <t>Dolichospermum (15%), Microcystis (15%), Microcystis Debris (70%), Woronichinia (0%)</t>
  </si>
  <si>
    <t>Aphanizomenon (50%), Dolichospermum (25%), Woronichinia (0%)</t>
  </si>
  <si>
    <t>Aphanizomenon (75%), Dolichospermum (5%), Microcystis Debris (20%), Woronichinia (0%)</t>
  </si>
  <si>
    <t>Dolichospermum (95%), Microcystis Debris (5%)</t>
  </si>
  <si>
    <t>Dolichospermum (95%), Oscillatoria (5%)</t>
  </si>
  <si>
    <t>Microcystis</t>
  </si>
  <si>
    <t>Ellie</t>
  </si>
  <si>
    <t>Aphanizomenon (75%), Microcystis (20%), Microcystis Debris (5%)</t>
  </si>
  <si>
    <t>Aphanizomenon (45%), Dolichospermum (50%), Woronichinia (5%)</t>
  </si>
  <si>
    <t>Dolichospermum (30%), Microcystis Debris (50%), Woronichinia (20%)</t>
  </si>
  <si>
    <t>Aphanizomenon (75%), Dolichospermum (5%), Microcystis Debris (15%), Woronichinia (5%)</t>
  </si>
  <si>
    <t>Aphanizomenon (10%), Dolichospermum (90%)</t>
  </si>
  <si>
    <t>Microcystis (10%), Microcystis Debris (85%), Woronichinia (5%)</t>
  </si>
  <si>
    <t>Microcystis (75%), Microcystis Debris (5%), Oscillatoria (20%)</t>
  </si>
  <si>
    <t>Aphanizomenon (10%), Dolichospermum (60%), Microcystis (15%), Microcystis Debris (15%), Woronichinia (0%)</t>
  </si>
  <si>
    <t>Dolichospermum (50%), Woronichinia (50%)</t>
  </si>
  <si>
    <t>Aphanizomenon (50%), Dolichospermum (45%), Microcystis Debris (5%)</t>
  </si>
  <si>
    <t>Aphanizomenon (20%), Dolichospermum (75%), Microcystis (5%)</t>
  </si>
  <si>
    <t>Dolichospermum (50%), Microcystis (50%)</t>
  </si>
  <si>
    <t>Dolichospermum (75%), Oscillatoria (20%), Woronichinia (5%)</t>
  </si>
  <si>
    <t>Dolichospermum</t>
  </si>
  <si>
    <t>Some</t>
  </si>
  <si>
    <t>Aphanizomenon (50%), Microcystis Debris (50%)</t>
  </si>
  <si>
    <t>NAA:zero.some</t>
  </si>
  <si>
    <t>Dolichospermum (90%), Woronichinia (10%)</t>
  </si>
  <si>
    <t>Dolichospermum (20%), Microcystis Debris (75%), Woronichinia (5%)</t>
  </si>
  <si>
    <t>Aphanizomenon (75%), Dolichospermum (24%), Microcystis (1%)</t>
  </si>
  <si>
    <t>Aphanizomenon (40%), Microcystis (50%), Microcystis Debris (10%)</t>
  </si>
  <si>
    <t>Dolichospermum (40%), Microcystis (10%), Woronichinia (50%)</t>
  </si>
  <si>
    <t>Dolichospermum (20%), Microcystis (5%), Microcystis Debris (50%), Woronichinia (25%)</t>
  </si>
  <si>
    <t>Aphanizomenon, Dolichospermum, Microcystis Debris</t>
  </si>
  <si>
    <t>Aphanizomenon (85%), Dolichospermum (10%), Microcystis Debris (5%)</t>
  </si>
  <si>
    <t>Aphanizomenon (75%), Woronichinia (25%)</t>
  </si>
  <si>
    <t>Dolichospermum (5%), Microcystis (75%), Microcystis Debris (20%)</t>
  </si>
  <si>
    <t>Dolichospermum (75%), Woronichinia (25%)</t>
  </si>
  <si>
    <t>Dolichospermum (75%), Microcystis (15%), Woronichinia (10%)</t>
  </si>
  <si>
    <t>Dolichospermum (40%), Microcystis (10%), Microcystis Debris (50%)</t>
  </si>
  <si>
    <t>NA.count</t>
  </si>
  <si>
    <t>abund in one</t>
  </si>
  <si>
    <t>Index</t>
  </si>
  <si>
    <t>Aphanizomenon</t>
  </si>
  <si>
    <t>Microcystis_Debris</t>
  </si>
  <si>
    <t>Oscillatoria</t>
  </si>
  <si>
    <t>Woronichinia</t>
  </si>
  <si>
    <t>Aph.check</t>
  </si>
  <si>
    <t>Micro.check</t>
  </si>
  <si>
    <t>Osc.check</t>
  </si>
  <si>
    <t>Wor.check</t>
  </si>
  <si>
    <t>sum.checks</t>
  </si>
  <si>
    <t>X</t>
  </si>
  <si>
    <t>sum.check</t>
  </si>
  <si>
    <t>all</t>
  </si>
  <si>
    <t>target.genera</t>
  </si>
  <si>
    <t>Lake.date</t>
  </si>
  <si>
    <t>date.text</t>
  </si>
  <si>
    <t>select.set</t>
  </si>
  <si>
    <t>2023-08-07</t>
  </si>
  <si>
    <t>2023-09-16</t>
  </si>
  <si>
    <t>2023-07-10</t>
  </si>
  <si>
    <t>2023-07-22</t>
  </si>
  <si>
    <t>2023-08-19</t>
  </si>
  <si>
    <t>2023-09-05</t>
  </si>
  <si>
    <t>2023-10-14</t>
  </si>
  <si>
    <t>2023-05-15</t>
  </si>
  <si>
    <t>2023-05-27</t>
  </si>
  <si>
    <t>2023-06-12</t>
  </si>
  <si>
    <t>2023-10-02</t>
  </si>
  <si>
    <t>img.count</t>
  </si>
  <si>
    <t>folder</t>
  </si>
  <si>
    <t>file list cmd</t>
  </si>
  <si>
    <t>Folder_name_replace#forspace</t>
  </si>
  <si>
    <t>Short.pond.name</t>
  </si>
  <si>
    <t>Bell#Pond</t>
  </si>
  <si>
    <t>Burncoat#1</t>
  </si>
  <si>
    <t>Burncoat#Pond</t>
  </si>
  <si>
    <t>Coes#Res</t>
  </si>
  <si>
    <t>Coes#Reservoir</t>
  </si>
  <si>
    <t>Coes</t>
  </si>
  <si>
    <t>CoesPond</t>
  </si>
  <si>
    <t>CoesRes</t>
  </si>
  <si>
    <t>CoesResHaley</t>
  </si>
  <si>
    <t>CoesResPat</t>
  </si>
  <si>
    <t>Cooks#Pond</t>
  </si>
  <si>
    <t>Cooks</t>
  </si>
  <si>
    <t>Crystal#Pond</t>
  </si>
  <si>
    <t>DarkBrook</t>
  </si>
  <si>
    <t>East#Lake#Waushacum</t>
  </si>
  <si>
    <t>Waushacum</t>
  </si>
  <si>
    <t>Ecotarium#Pond</t>
  </si>
  <si>
    <t>ElmPark#Pond</t>
  </si>
  <si>
    <t>ElmPark</t>
  </si>
  <si>
    <t>ElmParkl#Pond</t>
  </si>
  <si>
    <t>ElmParkPond</t>
  </si>
  <si>
    <t>Faluluh</t>
  </si>
  <si>
    <t>Farm#Pond</t>
  </si>
  <si>
    <t>FarmPond</t>
  </si>
  <si>
    <t>FlintRamp</t>
  </si>
  <si>
    <t>GreenHill#Park#Pond</t>
  </si>
  <si>
    <t>GreenHill#Park</t>
  </si>
  <si>
    <t>GreenHill#Pond</t>
  </si>
  <si>
    <t>GreenHill</t>
  </si>
  <si>
    <t>GreenHillPark</t>
  </si>
  <si>
    <t>IndianLake#Shore#Joe</t>
  </si>
  <si>
    <t>IndianLake#Shore#Melissa</t>
  </si>
  <si>
    <t>IndianLake</t>
  </si>
  <si>
    <t>IndianShore#Park</t>
  </si>
  <si>
    <t>IndianShorePark</t>
  </si>
  <si>
    <t>Jordan#Pond</t>
  </si>
  <si>
    <t>jordan</t>
  </si>
  <si>
    <t>Kiver#Pond</t>
  </si>
  <si>
    <t>Lake#Chauncey</t>
  </si>
  <si>
    <t>Lake#Chauncy</t>
  </si>
  <si>
    <t>Lake#Ellie</t>
  </si>
  <si>
    <t>Lake#Lashaway</t>
  </si>
  <si>
    <t>Lake#Quinsig</t>
  </si>
  <si>
    <t>Lake#Quinsigamond</t>
  </si>
  <si>
    <t>Lake#Waushacum</t>
  </si>
  <si>
    <t>Leeseville</t>
  </si>
  <si>
    <t>Leesville#Pond</t>
  </si>
  <si>
    <t>LittleIndianLake</t>
  </si>
  <si>
    <t>LittleIndian</t>
  </si>
  <si>
    <t>Manchaug#Pond</t>
  </si>
  <si>
    <t>Newton#Pond</t>
  </si>
  <si>
    <t>NewtonPond</t>
  </si>
  <si>
    <t>nolable</t>
  </si>
  <si>
    <t>nolabel</t>
  </si>
  <si>
    <t>Patch#Pond</t>
  </si>
  <si>
    <t>Patch#Res#Breeze#Dr</t>
  </si>
  <si>
    <t>Patch#Res</t>
  </si>
  <si>
    <t>Patch#Reservoir#Breeze</t>
  </si>
  <si>
    <t>Patch#Reservoir</t>
  </si>
  <si>
    <t>Patch</t>
  </si>
  <si>
    <t>PatchPond</t>
  </si>
  <si>
    <t>PatchRes</t>
  </si>
  <si>
    <t>Quinsig#Kings#Point</t>
  </si>
  <si>
    <t>Quinsig#Lake#Park</t>
  </si>
  <si>
    <t>Quinsig</t>
  </si>
  <si>
    <t>Salisbury#Pond</t>
  </si>
  <si>
    <t>Sterling</t>
  </si>
  <si>
    <t>Stevens#Pond</t>
  </si>
  <si>
    <t>University</t>
  </si>
  <si>
    <t>UNKNOWN</t>
  </si>
  <si>
    <t>Uknown</t>
  </si>
  <si>
    <t>Washicum</t>
  </si>
  <si>
    <t>Folder</t>
  </si>
  <si>
    <t>Year</t>
  </si>
  <si>
    <t>Month</t>
  </si>
  <si>
    <t>Day</t>
  </si>
  <si>
    <t>Pond</t>
  </si>
  <si>
    <t>Pond.edit</t>
  </si>
  <si>
    <t>Pond.date</t>
  </si>
  <si>
    <t>edit folder name</t>
  </si>
  <si>
    <t>Bell Pond_5.15.2023_10X_TR1 no dilution-pp</t>
  </si>
  <si>
    <t>Bell\ Pond_5.15.2023_10X_TR1\ no\ dilution-pp</t>
  </si>
  <si>
    <t>Bell Pond_5.27.23_10x_AI1 no dilution-pp</t>
  </si>
  <si>
    <t>Bell\ Pond_5.27.23_10x_AI1\ no\ dilution-pp</t>
  </si>
  <si>
    <t>Bell Pond_6.12.2023_10x_TM no dilution-pp</t>
  </si>
  <si>
    <t>Bell\ Pond_6.12.2023_10x_TM\ no\ dilution-pp</t>
  </si>
  <si>
    <t>Bell Pond_6.24.2023_10x_TM no dilution-pp</t>
  </si>
  <si>
    <t>2023-06-24</t>
  </si>
  <si>
    <t>Bell\ Pond_6.24.2023_10x_TM\ no\ dilution-pp</t>
  </si>
  <si>
    <t>Bell Pond_7.10.2023_10x_TM 0.5 dilution-pp</t>
  </si>
  <si>
    <t>Bell\ Pond_7.10.2023_10x_TM\ 0.5\ dilution-pp</t>
  </si>
  <si>
    <t>Bell Pond_7.22.2023_10x_TM 0.5 dilution-PP</t>
  </si>
  <si>
    <t>Bell\ Pond_7.22.2023_10x_TM\ 0.5\ dilution-PP</t>
  </si>
  <si>
    <t>Bell Pond_8.7.2023_10x_TM 0.5 dilution-pp</t>
  </si>
  <si>
    <t>Bell\ Pond_8.7.2023_10x_TM\ 0.5\ dilution-pp</t>
  </si>
  <si>
    <t>Bell Pond_8.19.2023_10x_TM 0.5 dilution-PP</t>
  </si>
  <si>
    <t>Bell\ Pond_8.19.2023_10x_TM\ 0.5\ dilution-PP</t>
  </si>
  <si>
    <t>Bell Pond_9.16.2023_10x_TM 0.5 dilution-pp</t>
  </si>
  <si>
    <t>Bell\ Pond_9.16.2023_10x_TM\ 0.5\ dilution-pp</t>
  </si>
  <si>
    <t>Bell Pond_10.2.2023_10x_TM 0.5 dilution 1-pp</t>
  </si>
  <si>
    <t>Bell\ Pond_10.2.2023_10x_TM\ 0.5\ dilution\ 1-pp</t>
  </si>
  <si>
    <t>Bell Pond_10.14.2023_10x_TM 0.5 dilution -pp</t>
  </si>
  <si>
    <t>Bell\ Pond_10.14.2023_10x_TM\ 0.5\ dilution\ -pp</t>
  </si>
  <si>
    <t>Bell_4.29.23_10x_TR1 no dilution-pp</t>
  </si>
  <si>
    <t>2023-04-29</t>
  </si>
  <si>
    <t>Bell_4.29.23_10x_TR1\ no\ dilution-pp</t>
  </si>
  <si>
    <t>Bell_6.19.21_10x_TR1</t>
  </si>
  <si>
    <t>2021-06-19</t>
  </si>
  <si>
    <t>Bell_CR5.2.22_10x_TR1-pp</t>
  </si>
  <si>
    <t>2022-05-02</t>
  </si>
  <si>
    <t>Bell_CR5.21.22_10x_AI1-pp</t>
  </si>
  <si>
    <t>2022-05-21</t>
  </si>
  <si>
    <t>Bell_CR6.6.22_10x_TR1-pp</t>
  </si>
  <si>
    <t>2022-06-06</t>
  </si>
  <si>
    <t>Bell_CR6.18.22_10x_TR1-pp</t>
  </si>
  <si>
    <t>2022-06-18</t>
  </si>
  <si>
    <t>Bell_CR7.5.22_10x_TR1-pp</t>
  </si>
  <si>
    <t>2022-07-05</t>
  </si>
  <si>
    <t>Bell_CR7.16.22_10x_AI1-pp</t>
  </si>
  <si>
    <t>2022-07-16</t>
  </si>
  <si>
    <t>Bell_CR8.1.22_10x_TR1-1 - pp</t>
  </si>
  <si>
    <t>2022-08-01</t>
  </si>
  <si>
    <t>Bell_CR8.1.22_10x_TR1-1\ -\ pp</t>
  </si>
  <si>
    <t>Bell_CR9.12.22_10xAI1-pp</t>
  </si>
  <si>
    <t>2022-09-12</t>
  </si>
  <si>
    <t>Bell_CR9.12.22_10xTR1 1</t>
  </si>
  <si>
    <t>Bell_CR9.12.22_10xTR1\ 1</t>
  </si>
  <si>
    <t>Bell_CR9.24.22_10x_TR1-pp</t>
  </si>
  <si>
    <t>2022-09-24</t>
  </si>
  <si>
    <t>Bell_CR10.3.22_10x_AI1 1-pp</t>
  </si>
  <si>
    <t>2022-10-03</t>
  </si>
  <si>
    <t>Bell_CR10.3.22_10x_AI1\ 1-pp</t>
  </si>
  <si>
    <t>Bell_WCMC_CR9.25.21_10x_TR1</t>
  </si>
  <si>
    <t>2021-09-25</t>
  </si>
  <si>
    <t>Bell_WCMC_CR10.16.21_TR1</t>
  </si>
  <si>
    <t>2021-10-16</t>
  </si>
  <si>
    <t>Bell_WCMC_CR10.16.21_TR1-PP</t>
  </si>
  <si>
    <t>Burncoat 1 _6.3.24_10x_TR1 0.5 Dilution-pp</t>
  </si>
  <si>
    <t>2024-06-03</t>
  </si>
  <si>
    <t>Burncoat\ 1\ _6.3.24_10x_TR1\ 0.5\ Dilution-pp</t>
  </si>
  <si>
    <t>Burncoat Pond_5.15.2023_10X_TR1 0.1 dilution-pp</t>
  </si>
  <si>
    <t>Burncoat\ Pond_5.15.2023_10X_TR1\ 0.1\ dilution-pp</t>
  </si>
  <si>
    <t>Burncoat Pond_6.24.2023_10x_TM no dilution-pp</t>
  </si>
  <si>
    <t>Burncoat\ Pond_6.24.2023_10x_TM\ no\ dilution-pp</t>
  </si>
  <si>
    <t>Burncoat Pond_7.10.2023_10x_TM 0.1 dilution-pp</t>
  </si>
  <si>
    <t>Burncoat\ Pond_7.10.2023_10x_TM\ 0.1\ dilution-pp</t>
  </si>
  <si>
    <t>Burncoat Pond_7.22.2023_10x_TM 0.1 dilution-pp</t>
  </si>
  <si>
    <t>Burncoat\ Pond_7.22.2023_10x_TM\ 0.1\ dilution-pp</t>
  </si>
  <si>
    <t>Burncoat Pond_8.7.2023_10x_TM 0.1 dilution-pp</t>
  </si>
  <si>
    <t>Burncoat\ Pond_8.7.2023_10x_TM\ 0.1\ dilution-pp</t>
  </si>
  <si>
    <t>Burncoat Pond_8.19.2023_10x_TM 0.1 dilution -pp</t>
  </si>
  <si>
    <t>Burncoat\ Pond_8.19.2023_10x_TM\ 0.1\ dilution\ -pp</t>
  </si>
  <si>
    <t>Burncoat Pond_9.5.2023_10x_TM 0.1 dilution -pp</t>
  </si>
  <si>
    <t>Burncoat\ Pond_9.5.2023_10x_TM\ 0.1\ dilution\ -pp</t>
  </si>
  <si>
    <t>Burncoat Pond_10.2.2023_10x_TM 0.1 dilution -pp</t>
  </si>
  <si>
    <t>Burncoat\ Pond_10.2.2023_10x_TM\ 0.1\ dilution\ -pp</t>
  </si>
  <si>
    <t>Burncoat Pond_10.14.2023_10x_TM 0.1 dilution -pp</t>
  </si>
  <si>
    <t>Burncoat\ Pond_10.14.2023_10x_TM\ 0.1\ dilution\ -pp</t>
  </si>
  <si>
    <t>Burncoat Pond_10.30.2023_10x_TM 0.5 dilution-pp</t>
  </si>
  <si>
    <t>2023-10-30</t>
  </si>
  <si>
    <t>Burncoat\ Pond_10.30.2023_10x_TM\ 0.5\ dilution-pp</t>
  </si>
  <si>
    <t>Burncoat__6.3.24_10x_TR1 no dilution_pp</t>
  </si>
  <si>
    <t>Burncoat__6.3.24_10x_TR1\ no\ dilution_pp</t>
  </si>
  <si>
    <t>Burncoat_4.29.23_10x_TR1 0.5 dilution-pp</t>
  </si>
  <si>
    <t>Burncoat_4.29.23_10x_TR1\ 0.5\ dilution-pp</t>
  </si>
  <si>
    <t>Burncoat_5.27.23_10x_AI1 .1 dilution-pp</t>
  </si>
  <si>
    <t>Burncoat_5.27.23_10x_AI1\ .1\ dilution-pp</t>
  </si>
  <si>
    <t>Burncoat_6.12.2023_10x_TM 0.5 dilution-pp</t>
  </si>
  <si>
    <t>Burncoat_6.12.2023_10x_TM\ 0.5\ dilution-pp</t>
  </si>
  <si>
    <t>Burncoat_6.19.21_10x_TR1</t>
  </si>
  <si>
    <t>Burncoat_CR5.2.22_10x_TR1-pp</t>
  </si>
  <si>
    <t>Burncoat_CR5.21.22_10x_AI1-pp</t>
  </si>
  <si>
    <t>Burncoat_CR6.6.22_10x_TR1-pp</t>
  </si>
  <si>
    <t>Burncoat_CR6.18.22_10x_TR1 .1 dilution-pp</t>
  </si>
  <si>
    <t>Burncoat_CR6.18.22_10x_TR1\ .1\ dilution-pp</t>
  </si>
  <si>
    <t>Burncoat_CR7.16.22_10x_AI1 .1dilution-pp</t>
  </si>
  <si>
    <t>Burncoat_CR7.16.22_10x_AI1\ .1dilution-pp</t>
  </si>
  <si>
    <t>Burncoat_CR8.1.22_10x_TR1-1 0.1 dilution - pp</t>
  </si>
  <si>
    <t>Burncoat_CR8.1.22_10x_TR1-1\ 0.1\ dilution\ -\ pp</t>
  </si>
  <si>
    <t>Burncoat_CR8.27.22_10X_AI1 0.1 dilution-pp</t>
  </si>
  <si>
    <t>2022-08-27</t>
  </si>
  <si>
    <t>Burncoat_CR8.27.22_10X_AI1\ 0.1\ dilution-pp</t>
  </si>
  <si>
    <t>Burncoat_CR10.15.22_10x_AI1 .1 dilution-pp</t>
  </si>
  <si>
    <t>2022-10-15</t>
  </si>
  <si>
    <t>Burncoat_CR10.15.22_10x_AI1\ .1\ dilution-pp</t>
  </si>
  <si>
    <t>Burncoat_WCMC_CR9.25.21_10x_TR1</t>
  </si>
  <si>
    <t>Burncoat_WCMC_CR9.25.21_10x_TR1-PP</t>
  </si>
  <si>
    <t>Burncoat_WCMC_CR10.16.21_TR1</t>
  </si>
  <si>
    <t>Burncoat_WCMC_CR10.16.21_TR1-PP</t>
  </si>
  <si>
    <t>Chauncy_4.29.23_10x_TR1 no dilution-pp</t>
  </si>
  <si>
    <t>Chauncy_4.29.23_10x_TR1\ no\ dilution-pp</t>
  </si>
  <si>
    <t>Chauncy_5.27.23_10x_TR1 .5 dilution-pp</t>
  </si>
  <si>
    <t>Chauncy_5.27.23_10x_TR1\ .5\ dilution-pp</t>
  </si>
  <si>
    <t>Coes Res_4.29.23_10x_TR1 no dilution-pp</t>
  </si>
  <si>
    <t>Coes\ Res_4.29.23_10x_TR1\ no\ dilution-pp</t>
  </si>
  <si>
    <t>Coes Res_5.27.23_10x_AI1 .5 dilution-pp</t>
  </si>
  <si>
    <t>Coes\ Res_5.27.23_10x_AI1\ .5\ dilution-pp</t>
  </si>
  <si>
    <t>Coes Res_5.27.23_10x_TR1 .5 dilution</t>
  </si>
  <si>
    <t>Coes\ Res_5.27.23_10x_TR1\ .5\ dilution</t>
  </si>
  <si>
    <t>Coes Res_6.12.2023_10x_TM 0.5 dilution-pp</t>
  </si>
  <si>
    <t>Coes\ Res_6.12.2023_10x_TM\ 0.5\ dilution-pp</t>
  </si>
  <si>
    <t>Coes Res_7.10.2023_10x_TM 0.5 dilution-pp</t>
  </si>
  <si>
    <t>Coes\ Res_7.10.2023_10x_TM\ 0.5\ dilution-pp</t>
  </si>
  <si>
    <t>Coes Res_10.30.2023_10x_TM 0.5 dilution -pp</t>
  </si>
  <si>
    <t>Coes\ Res_10.30.2023_10x_TM\ 0.5\ dilution\ -pp</t>
  </si>
  <si>
    <t>Coes Res_CR8.1.22_10x_TR1-1-pp</t>
  </si>
  <si>
    <t>Coes\ Res_CR8.1.22_10x_TR1-1-pp</t>
  </si>
  <si>
    <t>Coes Reservoir_5.15.2023_10X_TR1 no dilution-pp</t>
  </si>
  <si>
    <t>Coes\ Reservoir_5.15.2023_10X_TR1\ no\ dilution-pp</t>
  </si>
  <si>
    <t>Coes Reservoir_6.24.2023_10x_TM no dilution-pp</t>
  </si>
  <si>
    <t>Coes\ Reservoir_6.24.2023_10x_TM\ no\ dilution-pp</t>
  </si>
  <si>
    <t>Coes Reservoir_7.22.2023_10x_TM 0.5 dilution-pp</t>
  </si>
  <si>
    <t>Coes\ Reservoir_7.22.2023_10x_TM\ 0.5\ dilution-pp</t>
  </si>
  <si>
    <t>Coes Reservoir_8.7.2023_10x_TM 0.5 dilution-pp</t>
  </si>
  <si>
    <t>Coes\ Reservoir_8.7.2023_10x_TM\ 0.5\ dilution-pp</t>
  </si>
  <si>
    <t>Coes Reservoir_8.19.2023_10x_TM 0.5 dilution-PP</t>
  </si>
  <si>
    <t>Coes\ Reservoir_8.19.2023_10x_TM\ 0.5\ dilution-PP</t>
  </si>
  <si>
    <t>Coes Reservoir_9.5.2023_10x_TM 0.5 dilution 1-pp</t>
  </si>
  <si>
    <t>Coes\ Reservoir_9.5.2023_10x_TM\ 0.5\ dilution\ 1-pp</t>
  </si>
  <si>
    <t>Coes Reservoir_9.16.2023_10x_TM 0.5 dilution-pp</t>
  </si>
  <si>
    <t>Coes\ Reservoir_9.16.2023_10x_TM\ 0.5\ dilution-pp</t>
  </si>
  <si>
    <t>Coes Reservoir_10.2.2023_10x_TM 0.5 dilution -pp</t>
  </si>
  <si>
    <t>Coes\ Reservoir_10.2.2023_10x_TM\ 0.5\ dilution\ -pp</t>
  </si>
  <si>
    <t>Coes Reservoir_10.14.2023_10x_TM 0.5 dilution -pp</t>
  </si>
  <si>
    <t>Coes\ Reservoir_10.14.2023_10x_TM\ 0.5\ dilution\ -pp</t>
  </si>
  <si>
    <t>Coes Reservoir_CR9.12.22_10xAI1-pp</t>
  </si>
  <si>
    <t>Coes\ Reservoir_CR9.12.22_10xAI1-pp</t>
  </si>
  <si>
    <t>Coes Reservoir_CR9.26.22_10xTRI 0.1 dilution-pp</t>
  </si>
  <si>
    <t>2022-09-26</t>
  </si>
  <si>
    <t>Coes\ Reservoir_CR9.26.22_10xTRI\ 0.1\ dilution-pp</t>
  </si>
  <si>
    <t>Coes Reservoir_CR10.3.22_10xTR1 0.1 dilution-pp</t>
  </si>
  <si>
    <t>Coes\ Reservoir_CR10.3.22_10xTR1\ 0.1\ dilution-pp</t>
  </si>
  <si>
    <t>Coes_6.3.24_10x_TR1 no dilution-pp</t>
  </si>
  <si>
    <t>Coes_6.3.24_10x_TR1\ no\ dilution-pp</t>
  </si>
  <si>
    <t>Coes_6.19.21_10x_TR1</t>
  </si>
  <si>
    <t>Coes_6.19.21_10x_TR2</t>
  </si>
  <si>
    <t>CoesPond_WCMC_CR9.25.21_10x_TR1</t>
  </si>
  <si>
    <t>CoesPond_WCMC_CR9.25.21_10x_TR1-PP</t>
  </si>
  <si>
    <t>CoesPond_WCMC_CR10.16.21_TR1</t>
  </si>
  <si>
    <t>CoesPond_WCMC_CR10.16.21_TR1-pp</t>
  </si>
  <si>
    <t>CoesRes_CR6.6.22_10x_TR1-pp</t>
  </si>
  <si>
    <t>CoesRes_CR7.5.22_10x_TR1-pp</t>
  </si>
  <si>
    <t>CoesRes_CR7.19.22_10x_TR1</t>
  </si>
  <si>
    <t>2022-07-19</t>
  </si>
  <si>
    <t>CoesRes_WCMC_CR9.25.21_10x_TR1</t>
  </si>
  <si>
    <t>CoesRes_WCMC_CR9.25.21_10x_TR1-PP</t>
  </si>
  <si>
    <t>CoesRes_WCMC_CR10.16.21_TR1</t>
  </si>
  <si>
    <t>CoesRes_WCMC_CR10.16.21_TR1-PP</t>
  </si>
  <si>
    <t>CoesResHaley_CR5.2.22_10x_TR1-pp</t>
  </si>
  <si>
    <t>CoesResPat_CR5.2.22_10x_TR1-pp</t>
  </si>
  <si>
    <t>Cooks Pond_5.15.2023_10X_TR1 no dilution-pp</t>
  </si>
  <si>
    <t>Cooks\ Pond_5.15.2023_10X_TR1\ no\ dilution-pp</t>
  </si>
  <si>
    <t>Cooks Pond_5.27.23_10x_TR1 no dilution-pp</t>
  </si>
  <si>
    <t>Cooks\ Pond_5.27.23_10x_TR1\ no\ dilution-pp</t>
  </si>
  <si>
    <t>Cooks Pond_6.12.2023_10x_AI no dilution</t>
  </si>
  <si>
    <t>Cooks\ Pond_6.12.2023_10x_AI\ no\ dilution</t>
  </si>
  <si>
    <t>Cooks Pond_6.12.2023_10x_TM no dilution 2-pp</t>
  </si>
  <si>
    <t>Cooks\ Pond_6.12.2023_10x_TM\ no\ dilution\ 2-pp</t>
  </si>
  <si>
    <t>Cooks Pond_6.24.2023_10x_TM no dilution-pp</t>
  </si>
  <si>
    <t>Cooks\ Pond_6.24.2023_10x_TM\ no\ dilution-pp</t>
  </si>
  <si>
    <t>Cooks Pond_7.10.2023_10x_TM 0.5 dilution-pp</t>
  </si>
  <si>
    <t>Cooks\ Pond_7.10.2023_10x_TM\ 0.5\ dilution-pp</t>
  </si>
  <si>
    <t>Cooks Pond_7.22.2023_10x_TM 0.5 dilution-pp</t>
  </si>
  <si>
    <t>Cooks\ Pond_7.22.2023_10x_TM\ 0.5\ dilution-pp</t>
  </si>
  <si>
    <t>Cooks Pond_8.7.2023_10x_TM 0.5 dilution-PP</t>
  </si>
  <si>
    <t>Cooks\ Pond_8.7.2023_10x_TM\ 0.5\ dilution-PP</t>
  </si>
  <si>
    <t>Cooks Pond_8.19.2023_10x_TM 0.5 dilution-pp</t>
  </si>
  <si>
    <t>Cooks\ Pond_8.19.2023_10x_TM\ 0.5\ dilution-pp</t>
  </si>
  <si>
    <t>Cooks Pond_9.5.2023_10x_TM 0.5 dilution-pp</t>
  </si>
  <si>
    <t>Cooks\ Pond_9.5.2023_10x_TM\ 0.5\ dilution-pp</t>
  </si>
  <si>
    <t>Cooks Pond_9.16.2023_10x_TM 0.5 dilution-pp</t>
  </si>
  <si>
    <t>Cooks\ Pond_9.16.2023_10x_TM\ 0.5\ dilution-pp</t>
  </si>
  <si>
    <t>Cooks Pond_10.14.2023_10x_TM 0.5 dilution -pp</t>
  </si>
  <si>
    <t>Cooks\ Pond_10.14.2023_10x_TM\ 0.5\ dilution\ -pp</t>
  </si>
  <si>
    <t>Cooks Pond_IT SAMPLE_ 7.10.2023_10x_TM 0.5 dilution</t>
  </si>
  <si>
    <t>Cooks\ Pond_IT\ SAMPLE_\ 7.10.2023_10x_TM\ 0.5\ dilution</t>
  </si>
  <si>
    <t>Cooks_4.29.23_10x_TR1 no dilution-pp</t>
  </si>
  <si>
    <t>Cooks_4.29.23_10x_TR1\ no\ dilution-pp</t>
  </si>
  <si>
    <t>Cooks_6.3.24_10x_TR1-PP</t>
  </si>
  <si>
    <t>Cooks_6.19.21_10x_TR1</t>
  </si>
  <si>
    <t>Cooks_CR5.2.22_10x_TR1-pp</t>
  </si>
  <si>
    <t>Cooks_CR5.21.22_10x_AI1-pp</t>
  </si>
  <si>
    <t>Cooks_CR6.6.22_10x_TR1-pp</t>
  </si>
  <si>
    <t>Cooks_CR6.18.22_10x_TR1-pp</t>
  </si>
  <si>
    <t>Cooks_CR7.5.22_10x_TR1-pp</t>
  </si>
  <si>
    <t>Cooks_CR7.16.22_10x_AI1-pp</t>
  </si>
  <si>
    <t>Cooks_CR8.1.22_10x_TR1-1-pp</t>
  </si>
  <si>
    <t>Cooks_CR8.27.22_10X_AI1-PP</t>
  </si>
  <si>
    <t>Cooks_CR9.12.22_10xAI1-pp</t>
  </si>
  <si>
    <t>Cooks_CR9.24.22_10x_TR1-pp</t>
  </si>
  <si>
    <t>Cooks_CR10.3.22_10x_AI1-pp</t>
  </si>
  <si>
    <t>Cooks_CR10.15.22_10x_AI1-pp</t>
  </si>
  <si>
    <t>Cooks_WCMC_CR9.25.21_10x_TR1</t>
  </si>
  <si>
    <t>Cooks_WCMC_CR10.16.21_TR1</t>
  </si>
  <si>
    <t>Cooks_WCMC_CR10.16.21_TR1-PP</t>
  </si>
  <si>
    <t>Crystal Pond_5.15.2023_10X_TR1 0.5 dilution-pp</t>
  </si>
  <si>
    <t>Crystal\ Pond_5.15.2023_10X_TR1\ 0.5\ dilution-pp</t>
  </si>
  <si>
    <t>Crystal Pond_5.27.23_10x_AI1 .1 dilution-pp</t>
  </si>
  <si>
    <t>Crystal\ Pond_5.27.23_10x_AI1\ .1\ dilution-pp</t>
  </si>
  <si>
    <t>Crystal Pond_7.10.2023_10x_TM 0.5 dilution-pp</t>
  </si>
  <si>
    <t>Crystal\ Pond_7.10.2023_10x_TM\ 0.5\ dilution-pp</t>
  </si>
  <si>
    <t>Crystal Pond_7.22.2023_10x_TM 0.5 dilution 2-pp</t>
  </si>
  <si>
    <t>Crystal\ Pond_7.22.2023_10x_TM\ 0.5\ dilution\ 2-pp</t>
  </si>
  <si>
    <t>Crystal Pond_7.22.2023_10x_TM 0.5 dilution-pp</t>
  </si>
  <si>
    <t>Crystal\ Pond_7.22.2023_10x_TM\ 0.5\ dilution-pp</t>
  </si>
  <si>
    <t>Crystal Pond_8.7.2023_10x_TM 0.5 dilution-pp</t>
  </si>
  <si>
    <t>Crystal\ Pond_8.7.2023_10x_TM\ 0.5\ dilution-pp</t>
  </si>
  <si>
    <t>Crystal Pond_9.5.2023_10x_TM 0.5 dilution -1</t>
  </si>
  <si>
    <t>Crystal\ Pond_9.5.2023_10x_TM\ 0.5\ dilution\ -1</t>
  </si>
  <si>
    <t>Crystal Pond_9.5.2023_10x_TM 0.5 dilution -pp</t>
  </si>
  <si>
    <t>Crystal\ Pond_9.5.2023_10x_TM\ 0.5\ dilution\ -pp</t>
  </si>
  <si>
    <t>Crystal Pond_9.16.2023_10x_TM 0.5 dilution</t>
  </si>
  <si>
    <t>Crystal\ Pond_9.16.2023_10x_TM\ 0.5\ dilution</t>
  </si>
  <si>
    <t>Crystal Pond_9.16.2023_10x_TM 0.5 dilution-pp</t>
  </si>
  <si>
    <t>Crystal\ Pond_9.16.2023_10x_TM\ 0.5\ dilution-pp</t>
  </si>
  <si>
    <t>Crystal Pond_10.2.2023_10x_TM 0.1 dilution -pp</t>
  </si>
  <si>
    <t>Crystal\ Pond_10.2.2023_10x_TM\ 0.1\ dilution\ -pp</t>
  </si>
  <si>
    <t>Crystal_4.29.23_10x_TR1 0.5 dilution-pp</t>
  </si>
  <si>
    <t>Crystal_4.29.23_10x_TR1\ 0.5\ dilution-pp</t>
  </si>
  <si>
    <t>Crystal_6.3.24_10x_TR1 no dilution-pp</t>
  </si>
  <si>
    <t>Crystal_6.3.24_10x_TR1\ no\ dilution-pp</t>
  </si>
  <si>
    <t>Crystal_6.12.2023_10x_TM 0.5 dilution-pp</t>
  </si>
  <si>
    <t>Crystal_6.12.2023_10x_TM\ 0.5\ dilution-pp</t>
  </si>
  <si>
    <t>Crystal_6.24.2023_10x_TM 0.5 dilution-pp</t>
  </si>
  <si>
    <t>Crystal_6.24.2023_10x_TM\ 0.5\ dilution-pp</t>
  </si>
  <si>
    <t>Crystal_WCMC_CR9.25.21_10x_TR1</t>
  </si>
  <si>
    <t>Crystal_WCMC_CR9.25.21_10x_TR1-PP</t>
  </si>
  <si>
    <t>Curtis_6.19.21_10x_TR1</t>
  </si>
  <si>
    <t>Curtis_WCMC_CR9.25.21_10x_TR1</t>
  </si>
  <si>
    <t>Curtis_WCMC_CR10.16.21_TR1</t>
  </si>
  <si>
    <t>Curtis_WCMC_CR10.16.21_TR1-PP</t>
  </si>
  <si>
    <t>Dark Brook_CR7.5.22_10x_TR1-pp</t>
  </si>
  <si>
    <t>Dark\ Brook_CR7.5.22_10x_TR1-pp</t>
  </si>
  <si>
    <t>Dark Brook_CR8.1.22_10x_TR1-1-pp</t>
  </si>
  <si>
    <t>Dark\ Brook_CR8.1.22_10x_TR1-1-pp</t>
  </si>
  <si>
    <t>Dark Brook_CR9.12.22_10xAI1-pp</t>
  </si>
  <si>
    <t>Dark\ Brook_CR9.12.22_10xAI1-pp</t>
  </si>
  <si>
    <t>Dark Brook_CR9.12.22_10xTR1</t>
  </si>
  <si>
    <t>Dark\ Brook_CR9.12.22_10xTR1</t>
  </si>
  <si>
    <t>DarkBrook_CR5.2.22_10x_TR1-pp</t>
  </si>
  <si>
    <t>DarkBrook_CR6.6.22_10x_TR1-pp</t>
  </si>
  <si>
    <t>DarkBrook_CR7.16.22_10x_AI1-pp</t>
  </si>
  <si>
    <t>DarkBrook_CR10.15.22_10x_AI1-pp</t>
  </si>
  <si>
    <t>East Lake Waushacum_5.15.2023_10X_TR1 no dilution-pp</t>
  </si>
  <si>
    <t>East\ Lake\ Waushacum_5.15.2023_10X_TR1\ no\ dilution-pp</t>
  </si>
  <si>
    <t>Ecotarium Pond_10.2.2023_10x_TM 0.5 dilution -pp</t>
  </si>
  <si>
    <t>Ecotarium\ Pond_10.2.2023_10x_TM\ 0.5\ dilution\ -pp</t>
  </si>
  <si>
    <t>Ecotarium Pond_10.14.2023_10x_TM 0.5 dilution -pp</t>
  </si>
  <si>
    <t>Ecotarium\ Pond_10.14.2023_10x_TM\ 0.5\ dilution\ -pp</t>
  </si>
  <si>
    <t>Ecotarium_5.15.2023_10X_TR1 0.1 dilution-pp</t>
  </si>
  <si>
    <t>Ecotarium_5.15.2023_10X_TR1\ 0.1\ dilution-pp</t>
  </si>
  <si>
    <t>Ecotarium_5.27.23_10x_AI1 .1 dilution-pp</t>
  </si>
  <si>
    <t>Ecotarium_5.27.23_10x_AI1\ .1\ dilution-pp</t>
  </si>
  <si>
    <t>Ecotarium_6.3.24_10x_TR1 0.5 Dilution-pp</t>
  </si>
  <si>
    <t>Ecotarium_6.3.24_10x_TR1\ 0.5\ Dilution-pp</t>
  </si>
  <si>
    <t>Ecotarium_6.12.2023_10x_TM 0.1 dilution-pp</t>
  </si>
  <si>
    <t>Ecotarium_6.12.2023_10x_TM\ 0.1\ dilution-pp</t>
  </si>
  <si>
    <t>Ecotarium_6.24.2023_10x_TM 0.5 dilution-pp</t>
  </si>
  <si>
    <t>Ecotarium_6.24.2023_10x_TM\ 0.5\ dilution-pp</t>
  </si>
  <si>
    <t>Ecotarium_7.10.2023_10x_TM 0.5 dilution-pp</t>
  </si>
  <si>
    <t>Ecotarium_7.10.2023_10x_TM\ 0.5\ dilution-pp</t>
  </si>
  <si>
    <t>Ecotarium_7.22.2023_10x_TM 0.1 dilution-pp</t>
  </si>
  <si>
    <t>Ecotarium_7.22.2023_10x_TM\ 0.1\ dilution-pp</t>
  </si>
  <si>
    <t>Ecotarium_8.7.2023_10x_TM 0.1 dilution-pp</t>
  </si>
  <si>
    <t>Ecotarium_8.7.2023_10x_TM\ 0.1\ dilution-pp</t>
  </si>
  <si>
    <t>Ecotarium_8.19.2023_10x_TM 0.1 dilution -pp</t>
  </si>
  <si>
    <t>Ecotarium_8.19.2023_10x_TM\ 0.1\ dilution\ -pp</t>
  </si>
  <si>
    <t>Ecotarium_8.19.2023_10x_TM 0.1 dilution 1</t>
  </si>
  <si>
    <t>Ecotarium_8.19.2023_10x_TM\ 0.1\ dilution\ 1</t>
  </si>
  <si>
    <t>Ecotarium_8.19.2023_10x_TM 0.1 dilution 1-pp</t>
  </si>
  <si>
    <t>Ecotarium_8.19.2023_10x_TM\ 0.1\ dilution\ 1-pp</t>
  </si>
  <si>
    <t>Ecotarium_9.5.2023_10x_TM 0.1 dilution -pp</t>
  </si>
  <si>
    <t>Ecotarium_9.5.2023_10x_TM\ 0.1\ dilution\ -pp</t>
  </si>
  <si>
    <t>Ecotarium_9.16.2023_10x_TM 0.1 dilution-pp</t>
  </si>
  <si>
    <t>Ecotarium_9.16.2023_10x_TM\ 0.1\ dilution-pp</t>
  </si>
  <si>
    <t>Ecotarium_CR5.2.22_10x_TR1-pp</t>
  </si>
  <si>
    <t>Ecotarium_CR5.21.22_10x_AI1 .1 dilution-pp</t>
  </si>
  <si>
    <t>Ecotarium_CR5.21.22_10x_AI1\ .1\ dilution-pp</t>
  </si>
  <si>
    <t>Ecotarium_CR6.6.22_10x_TR1 .1dilution-pp</t>
  </si>
  <si>
    <t>Ecotarium_CR6.6.22_10x_TR1\ .1dilution-pp</t>
  </si>
  <si>
    <t>Ecotarium_CR6.18.22_10x_TR1 .1 dilution-pp</t>
  </si>
  <si>
    <t>Ecotarium_CR6.18.22_10x_TR1\ .1\ dilution-pp</t>
  </si>
  <si>
    <t>Ecotarium_CR7.5.22_10x_TR1 . 1dilution-pp</t>
  </si>
  <si>
    <t>Ecotarium_CR7.5.22_10x_TR1\ .\ 1dilution-pp</t>
  </si>
  <si>
    <t>Ecotarium_CR7.16.22_10x_AI1 0.1 dilution-pp</t>
  </si>
  <si>
    <t>Ecotarium_CR7.16.22_10x_AI1\ 0.1\ dilution-pp</t>
  </si>
  <si>
    <t>Ecotarium_CR8.1.22_10x_TR1-1 0.1 dilution - pp</t>
  </si>
  <si>
    <t>Ecotarium_CR8.1.22_10x_TR1-1\ 0.1\ dilution\ -\ pp</t>
  </si>
  <si>
    <t>Ecotarium_CR8.27.22_10X_AI1 0.1 dilution-pp</t>
  </si>
  <si>
    <t>Ecotarium_CR8.27.22_10X_AI1\ 0.1\ dilution-pp</t>
  </si>
  <si>
    <t>Ecotarium_CR9.12.22_10xAI1 0.1 dilution-pp</t>
  </si>
  <si>
    <t>Ecotarium_CR9.12.22_10xAI1\ 0.1\ dilution-pp</t>
  </si>
  <si>
    <t>Ecotarium_CR10.3.22_10x AI1 0.1 dilution-pp</t>
  </si>
  <si>
    <t>Ecotarium_CR10.3.22_10x\ AI1\ 0.1\ dilution-pp</t>
  </si>
  <si>
    <t>Elm Park Pond_7.22.2023_10x_TM 0.1 dilution-pp</t>
  </si>
  <si>
    <t>Elm\ Park\ Pond_7.22.2023_10x_TM\ 0.1\ dilution-pp</t>
  </si>
  <si>
    <t>Elm Park Pond_8.19.2023_10x_TM 0.1 dilution 1</t>
  </si>
  <si>
    <t>Elm\ Park\ Pond_8.19.2023_10x_TM\ 0.1\ dilution\ 1</t>
  </si>
  <si>
    <t>Elm Park Pond_8.19.2023_10x_TM 0.1 dilution 1-pp</t>
  </si>
  <si>
    <t>Elm\ Park\ Pond_8.19.2023_10x_TM\ 0.1\ dilution\ 1-pp</t>
  </si>
  <si>
    <t>Elm Park Pond_10.2.2023_10x_TM 0.1 dilution -pp</t>
  </si>
  <si>
    <t>Elm\ Park\ Pond_10.2.2023_10x_TM\ 0.1\ dilution\ -pp</t>
  </si>
  <si>
    <t>Elm Park Pond_CR9.24.22_10x_TR1 0.1 dilution-pp</t>
  </si>
  <si>
    <t>Elm\ Park\ Pond_CR9.24.22_10x_TR1\ 0.1\ dilution-pp</t>
  </si>
  <si>
    <t>Elm Park_5.27.23_10x_AI1 .1 dilution-pp</t>
  </si>
  <si>
    <t>Elm\ Park_5.27.23_10x_AI1\ .1\ dilution-pp</t>
  </si>
  <si>
    <t>Elm Park_6.12.2023_10x_TM 0.1 dilution-pp</t>
  </si>
  <si>
    <t>Elm\ Park_6.12.2023_10x_TM\ 0.1\ dilution-pp</t>
  </si>
  <si>
    <t>Elm Park_9.16.2023_10x_TM 0.1 dilution-pp</t>
  </si>
  <si>
    <t>Elm\ Park_9.16.2023_10x_TM\ 0.1\ dilution-pp</t>
  </si>
  <si>
    <t>Elm Park_CR7.5.22_10x_TR1 .1 dilution-pp</t>
  </si>
  <si>
    <t>Elm\ Park_CR7.5.22_10x_TR1\ .1\ dilution-pp</t>
  </si>
  <si>
    <t>Elm Park_CR9.12.22_10xAI1 0.1 dilution-pp</t>
  </si>
  <si>
    <t>Elm\ Park_CR9.12.22_10xAI1\ 0.1\ dilution-pp</t>
  </si>
  <si>
    <t>Elm Parkl Pond_5.15.2023_10X_TR1 0.1 dilution-pp</t>
  </si>
  <si>
    <t>Elm\ Parkl\ Pond_5.15.2023_10X_TR1\ 0.1\ dilution-pp</t>
  </si>
  <si>
    <t>Elm_CR5.2.22_10x_TR1-pp</t>
  </si>
  <si>
    <t>Elm_CR5.21.22_10x_AI1 .1 dilution-pp</t>
  </si>
  <si>
    <t>Elm_CR5.21.22_10x_AI1\ .1\ dilution-pp</t>
  </si>
  <si>
    <t>Elm_CR5.21.22_10x_TR1</t>
  </si>
  <si>
    <t>Elm_CR8.1.22_10x_TR1-1 0.1 Dilution - pp</t>
  </si>
  <si>
    <t>Elm_CR8.1.22_10x_TR1-1\ 0.1\ Dilution\ -\ pp</t>
  </si>
  <si>
    <t>ElmPark_CR6.6.22_10x_TR1 .1 dilution-pp</t>
  </si>
  <si>
    <t>ElmPark_CR6.6.22_10x_TR1\ .1\ dilution-pp</t>
  </si>
  <si>
    <t>ElmPark_CR7.16.22_10x_AI1 .1 dilution-pp</t>
  </si>
  <si>
    <t>ElmPark_CR7.16.22_10x_AI1\ .1\ dilution-pp</t>
  </si>
  <si>
    <t>ElmParkPond_CR6.18.22_10x_TR1 .1dilution-pp</t>
  </si>
  <si>
    <t>ElmParkPond_CR6.18.22_10x_TR1\ .1dilution-pp</t>
  </si>
  <si>
    <t>ElmParkPond_CR10.3.22_10x_AI1 (.1dilution)-pp</t>
  </si>
  <si>
    <t>ElmParkPond_CR10.3.22_10x_AI1\ \(.1dilution\)-pp</t>
  </si>
  <si>
    <t>Faluluh_CR10.1.21_10x_TR1</t>
  </si>
  <si>
    <t>2021-10-01</t>
  </si>
  <si>
    <t>Farm Pond_4.29.23_10x_TR1 no dilution-pp</t>
  </si>
  <si>
    <t>Farm\ Pond_4.29.23_10x_TR1\ no\ dilution-pp</t>
  </si>
  <si>
    <t>Farm Pond_5.27.23_10x_TR1 no dilution-pp</t>
  </si>
  <si>
    <t>Farm\ Pond_5.27.23_10x_TR1\ no\ dilution-pp</t>
  </si>
  <si>
    <t>Farm Pond_6.24.2023_10x_TM no dilution-pp</t>
  </si>
  <si>
    <t>Farm\ Pond_6.24.2023_10x_TM\ no\ dilution-pp</t>
  </si>
  <si>
    <t>Farm Pond_7.10.2023_10x_TM 0.5 dilution-pp</t>
  </si>
  <si>
    <t>Farm\ Pond_7.10.2023_10x_TM\ 0.5\ dilution-pp</t>
  </si>
  <si>
    <t>Farm Pond_7.22.2023_10x_TM 0.5 dilution-pp</t>
  </si>
  <si>
    <t>Farm\ Pond_7.22.2023_10x_TM\ 0.5\ dilution-pp</t>
  </si>
  <si>
    <t>Farm Pond_8.7.2023_10x_TM 0.5 dilution-PP</t>
  </si>
  <si>
    <t>Farm\ Pond_8.7.2023_10x_TM\ 0.5\ dilution-PP</t>
  </si>
  <si>
    <t>Farm Pond_8.19.2023_10x_TM 0.5 dilution-PP</t>
  </si>
  <si>
    <t>Farm\ Pond_8.19.2023_10x_TM\ 0.5\ dilution-PP</t>
  </si>
  <si>
    <t>Farm Pond_9.5.2023_10x_TM 0.5 dilution-pp</t>
  </si>
  <si>
    <t>Farm\ Pond_9.5.2023_10x_TM\ 0.5\ dilution-pp</t>
  </si>
  <si>
    <t>Farm Pond_9.16.2023_10x_TM 0.5 dilution-pp</t>
  </si>
  <si>
    <t>Farm\ Pond_9.16.2023_10x_TM\ 0.5\ dilution-pp</t>
  </si>
  <si>
    <t>Farm Pond_10.14.2023_10x_TM 0.5 dilution -pp</t>
  </si>
  <si>
    <t>Farm\ Pond_10.14.2023_10x_TM\ 0.5\ dilution\ -pp</t>
  </si>
  <si>
    <t>Farm Pond_10.30.2023_10x_TM 0.5 dilution -pp</t>
  </si>
  <si>
    <t>Farm\ Pond_10.30.2023_10x_TM\ 0.5\ dilution\ -pp</t>
  </si>
  <si>
    <t>Farm Pond_CR9.12.22_10xAI1-pp</t>
  </si>
  <si>
    <t>Farm\ Pond_CR9.12.22_10xAI1-pp</t>
  </si>
  <si>
    <t>Farm_6.3.24_10x_TR1-PP</t>
  </si>
  <si>
    <t>Farm_6.19.21_10x_TR1</t>
  </si>
  <si>
    <t>Farm_CR5.21.22_10x_AI1-pp</t>
  </si>
  <si>
    <t>Farm_CR7.16.22_10x_AI1-pp</t>
  </si>
  <si>
    <t>Farm_CR8.27.22_10x_TR1-PP</t>
  </si>
  <si>
    <t>Farm_CR9.24.22_10x_TR1-pp</t>
  </si>
  <si>
    <t>Farm_CR10.15.22_10x_AI1-pp</t>
  </si>
  <si>
    <t>Farm_WCMC_CR10.16.21_TR1</t>
  </si>
  <si>
    <t>Farm_WCMC_CR10.16.21_TR1-PP</t>
  </si>
  <si>
    <t>FarmPond_CR6.18.22_10x_TR1-pp</t>
  </si>
  <si>
    <t>FarmPond_CR8.1.22_10x_TR1-1 - pp</t>
  </si>
  <si>
    <t>FarmPond_CR8.1.22_10x_TR1-1\ -\ pp</t>
  </si>
  <si>
    <t>FarmPond_WCMC_CR9.30.21_TR1</t>
  </si>
  <si>
    <t>2021-09-30</t>
  </si>
  <si>
    <t>Flint_6.19.21_10x_TR1</t>
  </si>
  <si>
    <t>Flint_CR6.6.22_10x_TR1-pp</t>
  </si>
  <si>
    <t>Flint_CR7.16.22_10x_AI1-pp</t>
  </si>
  <si>
    <t>Flint_CR8.1.22_10x_TR1-1 - pp</t>
  </si>
  <si>
    <t>Flint_CR8.1.22_10x_TR1-1\ -\ pp</t>
  </si>
  <si>
    <t>Flint_CR8.27.22_10X_AI1-PP</t>
  </si>
  <si>
    <t>Flint_CR9.12.22_10xAI1-pp</t>
  </si>
  <si>
    <t>Flint_CR10.15.22_10x_AI1 .1dilution-pp</t>
  </si>
  <si>
    <t>Flint_CR10.15.22_10x_AI1\ .1dilution-pp</t>
  </si>
  <si>
    <t>Flint_WCMC_CR9.25.21_10x_TR1</t>
  </si>
  <si>
    <t>Flint_WCMC_CR10.16.21_TR1</t>
  </si>
  <si>
    <t>Flint_WCMC_CR10.16.21_TR1-PP</t>
  </si>
  <si>
    <t>FlintRamp_CR5.2.22_10x_TR1-pp</t>
  </si>
  <si>
    <t>Green Hill Park Pond_CR10.3.22_10x AI1 0.1 dilution-pp</t>
  </si>
  <si>
    <t>Green\ Hill\ Park\ Pond_CR10.3.22_10x\ AI1\ 0.1\ dilution-pp</t>
  </si>
  <si>
    <t>Green Hill Park_4.29.23_10x_TR1-pp</t>
  </si>
  <si>
    <t>Green\ Hill\ Park_4.29.23_10x_TR1-pp</t>
  </si>
  <si>
    <t>Green Hill Pond_5.15.2023_10X_TR1 0.5 dilution-pp</t>
  </si>
  <si>
    <t>Green\ Hill\ Pond_5.15.2023_10X_TR1\ 0.5\ dilution-pp</t>
  </si>
  <si>
    <t>Green Hill Pond_6.24.2023_10x_TM no dilution-pp</t>
  </si>
  <si>
    <t>Green\ Hill\ Pond_6.24.2023_10x_TM\ no\ dilution-pp</t>
  </si>
  <si>
    <t>Green Hill Pond_7.10.2023_10x_TM 0.5 dilution-pp</t>
  </si>
  <si>
    <t>Green\ Hill\ Pond_7.10.2023_10x_TM\ 0.5\ dilution-pp</t>
  </si>
  <si>
    <t>Green Hill Pond_7.22.2023_10x_TM 0.5 dilution-pp</t>
  </si>
  <si>
    <t>Green\ Hill\ Pond_7.22.2023_10x_TM\ 0.5\ dilution-pp</t>
  </si>
  <si>
    <t>Green Hill Pond_8.7.2023_10x_TM 0.5 dilution-pp</t>
  </si>
  <si>
    <t>Green\ Hill\ Pond_8.7.2023_10x_TM\ 0.5\ dilution-pp</t>
  </si>
  <si>
    <t>Green Hill Pond_8.19.2023_10x_TM 0.5 dilution-pp</t>
  </si>
  <si>
    <t>Green\ Hill\ Pond_8.19.2023_10x_TM\ 0.5\ dilution-pp</t>
  </si>
  <si>
    <t>Green Hill Pond_9.5.2023_10x_TM 0.5 dilution -pp</t>
  </si>
  <si>
    <t>Green\ Hill\ Pond_9.5.2023_10x_TM\ 0.5\ dilution\ -pp</t>
  </si>
  <si>
    <t>Green Hill Pond_9.16.2023_10x_TM 0.1 dilution</t>
  </si>
  <si>
    <t>Green\ Hill\ Pond_9.16.2023_10x_TM\ 0.1\ dilution</t>
  </si>
  <si>
    <t>Green Hill Pond_9.16.2023_10x_TM 0.1 dilution-pp</t>
  </si>
  <si>
    <t>Green\ Hill\ Pond_9.16.2023_10x_TM\ 0.1\ dilution-pp</t>
  </si>
  <si>
    <t>Green Hill Pond_10.2.2023_10x_TM 0.1 dilution -pp</t>
  </si>
  <si>
    <t>Green\ Hill\ Pond_10.2.2023_10x_TM\ 0.1\ dilution\ -pp</t>
  </si>
  <si>
    <t>Green Hill Pond_10.14.2023_10x_TM 0.5 dilution -pp</t>
  </si>
  <si>
    <t>Green\ Hill\ Pond_10.14.2023_10x_TM\ 0.5\ dilution\ -pp</t>
  </si>
  <si>
    <t>Green Hill Pond_10.30.2023_10x_TM 0.5 dilution-pp</t>
  </si>
  <si>
    <t>Green\ Hill\ Pond_10.30.2023_10x_TM\ 0.5\ dilution-pp</t>
  </si>
  <si>
    <t>Green Hill_5.27.23_10x_AI1 .5 dilution-pp</t>
  </si>
  <si>
    <t>Green\ Hill_5.27.23_10x_AI1\ .5\ dilution-pp</t>
  </si>
  <si>
    <t>Green Hill_6.12.2023_10x_TM 0.5 dilution-pp</t>
  </si>
  <si>
    <t>Green\ Hill_6.12.2023_10x_TM\ 0.5\ dilution-pp</t>
  </si>
  <si>
    <t>Green Hill_6.19.21_10x_TR1</t>
  </si>
  <si>
    <t>Green\ Hill_6.19.21_10x_TR1</t>
  </si>
  <si>
    <t>Green Hill_CR8.1.22_10x_TR1-1 0.1 Dilution - pp</t>
  </si>
  <si>
    <t>Green\ Hill_CR8.1.22_10x_TR1-1\ 0.1\ Dilution\ -\ pp</t>
  </si>
  <si>
    <t>Green Hill_CR8.27.22_10X_AI1-0.1 dilution-pp</t>
  </si>
  <si>
    <t>Green\ Hill_CR8.27.22_10X_AI1-0.1\ dilution-pp</t>
  </si>
  <si>
    <t>Green Hill_CR9.12.22_10xAI1 0.1 dilution-pp</t>
  </si>
  <si>
    <t>Green\ Hill_CR9.12.22_10xAI1\ 0.1\ dilution-pp</t>
  </si>
  <si>
    <t>GreenHill_CR5.21.22_10x_AI1-pp</t>
  </si>
  <si>
    <t>GreenHill_CR6.6.22_10x_TR1-pp</t>
  </si>
  <si>
    <t>GreenHill_CR7.16.22_10x_AI1 0.1 dilution-pp</t>
  </si>
  <si>
    <t>GreenHill_CR7.16.22_10x_AI1\ 0.1\ dilution-pp</t>
  </si>
  <si>
    <t>GreenHill_CR9.24.22_10x_TR1-pp</t>
  </si>
  <si>
    <t>GreenHill_CR10.15.22_10x_AI1 .1 dilution-pp</t>
  </si>
  <si>
    <t>GreenHill_CR10.15.22_10x_AI1\ .1\ dilution-pp</t>
  </si>
  <si>
    <t>GreenHillPark_CR5.2.22_10x_TR1-pp</t>
  </si>
  <si>
    <t>GreenHillPark_CR7.5.22_10x_TR1-pp</t>
  </si>
  <si>
    <t>Indian Lake Shore Joe_5.15.2023_10X_TR1 0.5 dilution-pp</t>
  </si>
  <si>
    <t>Indian\ Lake\ Shore\ Joe_5.15.2023_10X_TR1\ 0.5\ dilution-pp</t>
  </si>
  <si>
    <t>Indian Lake Shore Melissa_5.15.2023_10X_TR1 0.5 dilution-pp</t>
  </si>
  <si>
    <t>Indian\ Lake\ Shore\ Melissa_5.15.2023_10X_TR1\ 0.5\ dilution-pp</t>
  </si>
  <si>
    <t>Indian Lake_4.29.23_10x_TR1 no dilution-pp</t>
  </si>
  <si>
    <t>Indian\ Lake_4.29.23_10x_TR1\ no\ dilution-pp</t>
  </si>
  <si>
    <t>Indian Lake_5.27.23_10x_AI1 .5 dilution-pp</t>
  </si>
  <si>
    <t>Indian\ Lake_5.27.23_10x_AI1\ .5\ dilution-pp</t>
  </si>
  <si>
    <t>Indian Lake_6.12.2023_10x_TM 0.5 dilution-pp</t>
  </si>
  <si>
    <t>Indian\ Lake_6.12.2023_10x_TM\ 0.5\ dilution-pp</t>
  </si>
  <si>
    <t>Indian Lake_6.24.2023_10x_TM no dilution-pp</t>
  </si>
  <si>
    <t>Indian\ Lake_6.24.2023_10x_TM\ no\ dilution-pp</t>
  </si>
  <si>
    <t>Indian Lake_7.10.2023_10x_TM 0.5 dilution-pp</t>
  </si>
  <si>
    <t>Indian\ Lake_7.10.2023_10x_TM\ 0.5\ dilution-pp</t>
  </si>
  <si>
    <t>Indian Lake_7.22.2023_10x_TM 0.5 dilution-pp</t>
  </si>
  <si>
    <t>Indian\ Lake_7.22.2023_10x_TM\ 0.5\ dilution-pp</t>
  </si>
  <si>
    <t>Indian Lake_8.7.2023_10x_TM 0.5 dilution-pp</t>
  </si>
  <si>
    <t>Indian\ Lake_8.7.2023_10x_TM\ 0.5\ dilution-pp</t>
  </si>
  <si>
    <t>Indian Lake_8.19.2023_10x_TM 0.5 dilution-pp</t>
  </si>
  <si>
    <t>Indian\ Lake_8.19.2023_10x_TM\ 0.5\ dilution-pp</t>
  </si>
  <si>
    <t>Indian Lake_9.5.2023_10x_TM 0.5 dilution -pp</t>
  </si>
  <si>
    <t>Indian\ Lake_9.5.2023_10x_TM\ 0.5\ dilution\ -pp</t>
  </si>
  <si>
    <t>Indian Lake_9.16.2023_10x_TM 0.5 dilution-pp</t>
  </si>
  <si>
    <t>Indian\ Lake_9.16.2023_10x_TM\ 0.5\ dilution-pp</t>
  </si>
  <si>
    <t>Indian Lake_10.2.2023_10x_TM 0.5 dilution -pp</t>
  </si>
  <si>
    <t>Indian\ Lake_10.2.2023_10x_TM\ 0.5\ dilution\ -pp</t>
  </si>
  <si>
    <t>Indian Lake_10.14.2023_10x_TM 0.5 dilution -pp</t>
  </si>
  <si>
    <t>Indian\ Lake_10.14.2023_10x_TM\ 0.5\ dilution\ -pp</t>
  </si>
  <si>
    <t>Indian Lake_10.30.2023_10x_TM 0.5 dilution-pp</t>
  </si>
  <si>
    <t>Indian\ Lake_10.30.2023_10x_TM\ 0.5\ dilution-pp</t>
  </si>
  <si>
    <t>Indian Lake_CR9.24.22_10x_TR1-pp</t>
  </si>
  <si>
    <t>Indian\ Lake_CR9.24.22_10x_TR1-pp</t>
  </si>
  <si>
    <t>Indian Shore Park_CR10.3.22_10x AI1 0.1 dilution-pp</t>
  </si>
  <si>
    <t>Indian\ Shore\ Park_CR10.3.22_10x\ AI1\ 0.1\ dilution-pp</t>
  </si>
  <si>
    <t>Indian_6.3.24_10x_TR1 no dilution-pp</t>
  </si>
  <si>
    <t>Indian_6.3.24_10x_TR1\ no\ dilution-pp</t>
  </si>
  <si>
    <t>Indian_CR5.2.22_10x_TR1-pp</t>
  </si>
  <si>
    <t>Indian_CR5.21.22_10x_AI1-pp</t>
  </si>
  <si>
    <t>Indian_CR6.6.22_10x_TR1</t>
  </si>
  <si>
    <t>Indian_CR6.6.22_10x_TR2-pp</t>
  </si>
  <si>
    <t>Indian_CR7.5.22_10x_TR1-pp</t>
  </si>
  <si>
    <t>Indian_CR7.16.22_10x_AI1 .25 dilution-pp</t>
  </si>
  <si>
    <t>Indian_CR7.16.22_10x_AI1\ .25\ dilution-pp</t>
  </si>
  <si>
    <t>Indian_CR8.1.22_10x_TR1-1 - PP</t>
  </si>
  <si>
    <t>Indian_CR8.1.22_10x_TR1-1\ -\ PP</t>
  </si>
  <si>
    <t>Indian_CR8.27.22_10X_AI1-pp</t>
  </si>
  <si>
    <t>Indian_CR10.15.22_10x_AI1-pp-1</t>
  </si>
  <si>
    <t>Indian_WCMC_CR9.25.21_10x_TR1</t>
  </si>
  <si>
    <t>Indian_WCMC_CR9.25.21_10x_TR1-PP</t>
  </si>
  <si>
    <t>Indian_WCMC_CR10.16.21_TR1</t>
  </si>
  <si>
    <t>Indian_WCMC_CR10.16.21_TR1-PP</t>
  </si>
  <si>
    <t>IndianLake_CR6.18.22_10x_TR1-pp</t>
  </si>
  <si>
    <t>IndianShorePark_CR5.2.22_10x_TR1-pp</t>
  </si>
  <si>
    <t>IndianShorePark_CR6.6.22_10x_TR1-pp</t>
  </si>
  <si>
    <t>Jordan Pond_5.15.2023_10X_TR1 no dilution-pp</t>
  </si>
  <si>
    <t>Jordan\ Pond_5.15.2023_10X_TR1\ no\ dilution-pp</t>
  </si>
  <si>
    <t>Jordan Pond_6.24.2023_10x_TM no dilution-pp</t>
  </si>
  <si>
    <t>Jordan\ Pond_6.24.2023_10x_TM\ no\ dilution-pp</t>
  </si>
  <si>
    <t>Jordan Pond_7.10.2023_10x_TM 0.5 dilution-pp</t>
  </si>
  <si>
    <t>Jordan\ Pond_7.10.2023_10x_TM\ 0.5\ dilution-pp</t>
  </si>
  <si>
    <t>Jordan Pond_7.22.2023_10x_TM 0.5 dilution-pp</t>
  </si>
  <si>
    <t>Jordan\ Pond_7.22.2023_10x_TM\ 0.5\ dilution-pp</t>
  </si>
  <si>
    <t>Jordan Pond_8.7.2023_10x_TM 0.5 dilution-pp</t>
  </si>
  <si>
    <t>Jordan\ Pond_8.7.2023_10x_TM\ 0.5\ dilution-pp</t>
  </si>
  <si>
    <t>Jordan Pond_9.5.2023_10x_TM 0.5 dilution -pp</t>
  </si>
  <si>
    <t>Jordan\ Pond_9.5.2023_10x_TM\ 0.5\ dilution\ -pp</t>
  </si>
  <si>
    <t>Jordan Pond_10.2.2023_10x_TM 0.5 dilution -pp</t>
  </si>
  <si>
    <t>Jordan\ Pond_10.2.2023_10x_TM\ 0.5\ dilution\ -pp</t>
  </si>
  <si>
    <t>Jordan Pond_10.30.2023_10x_TM 0.5 dilution-pp</t>
  </si>
  <si>
    <t>Jordan\ Pond_10.30.2023_10x_TM\ 0.5\ dilution-pp</t>
  </si>
  <si>
    <t>Jordan Pond_CR9.24.22_10x_TR1-pp-1</t>
  </si>
  <si>
    <t>Jordan\ Pond_CR9.24.22_10x_TR1-pp-1</t>
  </si>
  <si>
    <t>Jordan_4.29.23_10x_TR1 no dilution-pp</t>
  </si>
  <si>
    <t>Jordan_4.29.23_10x_TR1\ no\ dilution-pp</t>
  </si>
  <si>
    <t>Jordan_5.27.23_10x_TR1_.5 dilution-pp</t>
  </si>
  <si>
    <t>Jordan_5.27.23_10x_TR1_.5\ dilution-pp</t>
  </si>
  <si>
    <t>Jordan_6.3.24_10x_TR1 no dilution-pp</t>
  </si>
  <si>
    <t>Jordan_6.3.24_10x_TR1\ no\ dilution-pp</t>
  </si>
  <si>
    <t>Jordan_6.12.2023_10x_TM no dilution-pp</t>
  </si>
  <si>
    <t>Jordan_6.12.2023_10x_TM\ no\ dilution-pp</t>
  </si>
  <si>
    <t>Jordan_CR5.21.22_10x_AI1-pp</t>
  </si>
  <si>
    <t>Jordan_CR7.16.22_10x_AI1</t>
  </si>
  <si>
    <t>jordan_CR7.16.22_10x_AI2-pp</t>
  </si>
  <si>
    <t>Jordan_CR8.27.22_10X_AI1-pp</t>
  </si>
  <si>
    <t>Jordan_CR10.15.22_10x_AI1-pp</t>
  </si>
  <si>
    <t>Kiver Pond_5.15.2023_10X_TR1 0.5 dilution-pp</t>
  </si>
  <si>
    <t>Kiver\ Pond_5.15.2023_10X_TR1\ 0.5\ dilution-pp</t>
  </si>
  <si>
    <t>Kiver Pond_6.24.2023_10x_TM 0.5 dilution-pp</t>
  </si>
  <si>
    <t>Kiver\ Pond_6.24.2023_10x_TM\ 0.5\ dilution-pp</t>
  </si>
  <si>
    <t>Kiver Pond_7.10.2023_10x_TM 0.1 dilution-pp</t>
  </si>
  <si>
    <t>Kiver\ Pond_7.10.2023_10x_TM\ 0.1\ dilution-pp</t>
  </si>
  <si>
    <t>Kiver Pond_7.22.2023_10x_TM 0.1 dilution-pp</t>
  </si>
  <si>
    <t>Kiver\ Pond_7.22.2023_10x_TM\ 0.1\ dilution-pp</t>
  </si>
  <si>
    <t>Kiver Pond_8.7.2023_10x_TM 0.1 dilution-pp1</t>
  </si>
  <si>
    <t>Kiver\ Pond_8.7.2023_10x_TM\ 0.1\ dilution-pp1</t>
  </si>
  <si>
    <t>Kiver Pond_9.5.2023_10x_TM 0.1 dilution -pp</t>
  </si>
  <si>
    <t>Kiver\ Pond_9.5.2023_10x_TM\ 0.1\ dilution\ -pp</t>
  </si>
  <si>
    <t>Kiver Pond_9.16.2023_10x_TM 0.1 dilution-pp</t>
  </si>
  <si>
    <t>Kiver\ Pond_9.16.2023_10x_TM\ 0.1\ dilution-pp</t>
  </si>
  <si>
    <t>Kiver Pond_10.2.2023_10x_TM 0.1 dilution -pp</t>
  </si>
  <si>
    <t>Kiver\ Pond_10.2.2023_10x_TM\ 0.1\ dilution\ -pp</t>
  </si>
  <si>
    <t>Kiver Pond_10.14.2023_10x_TM 0.1 dilution -pp</t>
  </si>
  <si>
    <t>Kiver\ Pond_10.14.2023_10x_TM\ 0.1\ dilution\ -pp</t>
  </si>
  <si>
    <t>Kiver_4.29.23_10x_TR1 0.5 dilution-pp</t>
  </si>
  <si>
    <t>Kiver_4.29.23_10x_TR1\ 0.5\ dilution-pp</t>
  </si>
  <si>
    <t>Kiver_5.27.23_10x_AI1 .1 dilution-pp</t>
  </si>
  <si>
    <t>Kiver_5.27.23_10x_AI1\ .1\ dilution-pp</t>
  </si>
  <si>
    <t>Kiver_6.3.24_10x_TR1 0.5 Dilution-pp</t>
  </si>
  <si>
    <t>Kiver_6.3.24_10x_TR1\ 0.5\ Dilution-pp</t>
  </si>
  <si>
    <t>Kiver_6.12.2023_10x_TM 0.1 dilution-pp</t>
  </si>
  <si>
    <t>Kiver_6.12.2023_10x_TM\ 0.1\ dilution-pp</t>
  </si>
  <si>
    <t>Kiver_CR5.2.22_10x_TR1-pp</t>
  </si>
  <si>
    <t>Kiver_CR5.21.22_10x_AI1 .1 dilution-pp</t>
  </si>
  <si>
    <t>Kiver_CR5.21.22_10x_AI1\ .1\ dilution-pp</t>
  </si>
  <si>
    <t>Kiver_CR6.6.22_10x_TR1 .1dilution-pp</t>
  </si>
  <si>
    <t>Kiver_CR6.6.22_10x_TR1\ .1dilution-pp</t>
  </si>
  <si>
    <t>Kiver_CR6.18.22_10x_TR1 .1dilution-pp</t>
  </si>
  <si>
    <t>Kiver_CR6.18.22_10x_TR1\ .1dilution-pp</t>
  </si>
  <si>
    <t>Kiver_CR7.5.22_10x_TR1-pp</t>
  </si>
  <si>
    <t>Kiver_CR7.16.22_10x_AI1 .1 dilution-pp</t>
  </si>
  <si>
    <t>Kiver_CR7.16.22_10x_AI1\ .1\ dilution-pp</t>
  </si>
  <si>
    <t>Kiver_CR8.1.22_10x_TR1-1 0.1 dilution - pp</t>
  </si>
  <si>
    <t>Kiver_CR8.1.22_10x_TR1-1\ 0.1\ dilution\ -\ pp</t>
  </si>
  <si>
    <t>Kiver_CR8.27.22_10X_AI1 0.1 dilution-pp</t>
  </si>
  <si>
    <t>Kiver_CR8.27.22_10X_AI1\ 0.1\ dilution-pp</t>
  </si>
  <si>
    <t>Kiver_CR9.24.22_10x_TR1 0.1 dilution-pp</t>
  </si>
  <si>
    <t>Kiver_CR9.24.22_10x_TR1\ 0.1\ dilution-pp</t>
  </si>
  <si>
    <t>Kiver_CR10.15.22_10x_AI1 .1dilution-pp</t>
  </si>
  <si>
    <t>Kiver_CR10.15.22_10x_AI1\ .1dilution-pp</t>
  </si>
  <si>
    <t>Kiver_WCMC_CR9.25.21_10x_TR1</t>
  </si>
  <si>
    <t>Kiver_WCMC_CR9.25.21_10x_TR1-PP</t>
  </si>
  <si>
    <t>Kiver_WCMC_CR10.16.21_TR2</t>
  </si>
  <si>
    <t>Kiver_WCMC_CR10.16.21_TR2-PP</t>
  </si>
  <si>
    <t>Lake Chauncey_6.12.2023_10x_TM no dilution-pp</t>
  </si>
  <si>
    <t>Lake\ Chauncey_6.12.2023_10x_TM\ no\ dilution-pp</t>
  </si>
  <si>
    <t>Lake Chauncey_6.24.2023_10x_TM no dilution-pp</t>
  </si>
  <si>
    <t>Lake\ Chauncey_6.24.2023_10x_TM\ no\ dilution-pp</t>
  </si>
  <si>
    <t>Lake Chauncey_7.10.2023_10x_TM 0.5 dilution-pp</t>
  </si>
  <si>
    <t>Lake\ Chauncey_7.10.2023_10x_TM\ 0.5\ dilution-pp</t>
  </si>
  <si>
    <t>Lake Chauncey_7.22.2023_10x_TM 0.5 dilution-pp</t>
  </si>
  <si>
    <t>Lake\ Chauncey_7.22.2023_10x_TM\ 0.5\ dilution-pp</t>
  </si>
  <si>
    <t>Lake Chauncey_8.7.2023_10x_TM 0.5 dilution-pp</t>
  </si>
  <si>
    <t>Lake\ Chauncey_8.7.2023_10x_TM\ 0.5\ dilution-pp</t>
  </si>
  <si>
    <t>Lake Chauncy_5.15.2023_10X_TR1 no dilution-pp</t>
  </si>
  <si>
    <t>Lake\ Chauncy_5.15.2023_10X_TR1\ no\ dilution-pp</t>
  </si>
  <si>
    <t>Lake Chauncy_8.19.2023_10x_TM 0.5 dilution 2-pp</t>
  </si>
  <si>
    <t>Lake\ Chauncy_8.19.2023_10x_TM\ 0.5\ dilution\ 2-pp</t>
  </si>
  <si>
    <t>Lake Chauncy_9.16.2023_10x_TM 0.5 dilution-pp</t>
  </si>
  <si>
    <t>Lake\ Chauncy_9.16.2023_10x_TM\ 0.5\ dilution-pp</t>
  </si>
  <si>
    <t>Lake Chauncy_10.2.2023_10x_TM 0.5 dilution -pp</t>
  </si>
  <si>
    <t>Lake\ Chauncy_10.2.2023_10x_TM\ 0.5\ dilution\ -pp</t>
  </si>
  <si>
    <t>Lake Chauncy_10.14.2023_10x_TM 0.5 dilution -pp</t>
  </si>
  <si>
    <t>Lake\ Chauncy_10.14.2023_10x_TM\ 0.5\ dilution\ -pp</t>
  </si>
  <si>
    <t>Lake Ellie_5.27.23_10x_AI1 .1 dilution-pp</t>
  </si>
  <si>
    <t>Lake\ Ellie_5.27.23_10x_AI1\ .1\ dilution-pp</t>
  </si>
  <si>
    <t>Lake Ellie_6.12.2023_10x_TM 0.1 dilution-pp</t>
  </si>
  <si>
    <t>Lake\ Ellie_6.12.2023_10x_TM\ 0.1\ dilution-pp</t>
  </si>
  <si>
    <t>Lake Ellie_6.24.2023_10x_TM 0.1 dilution-pp</t>
  </si>
  <si>
    <t>Lake\ Ellie_6.24.2023_10x_TM\ 0.1\ dilution-pp</t>
  </si>
  <si>
    <t>Lake Ellie_7.10.2023_10x_TM 0.1 dilution-pp</t>
  </si>
  <si>
    <t>Lake\ Ellie_7.10.2023_10x_TM\ 0.1\ dilution-pp</t>
  </si>
  <si>
    <t>Lake Ellie_7.22.2023_10x_TM 0.1 dilution-pp</t>
  </si>
  <si>
    <t>Lake\ Ellie_7.22.2023_10x_TM\ 0.1\ dilution-pp</t>
  </si>
  <si>
    <t>Lake Ellie_9.5.2023_10x_TM 0.1 dilution -pp</t>
  </si>
  <si>
    <t>Lake\ Ellie_9.5.2023_10x_TM\ 0.1\ dilution\ -pp</t>
  </si>
  <si>
    <t>Lake Ellie_9.16.2023_10x_TM 0.1 dilution-pp</t>
  </si>
  <si>
    <t>Lake\ Ellie_9.16.2023_10x_TM\ 0.1\ dilution-pp</t>
  </si>
  <si>
    <t>Lake Ellie_10.2.2023_10x_TM 0.1 dilution -pp</t>
  </si>
  <si>
    <t>Lake\ Ellie_10.2.2023_10x_TM\ 0.1\ dilution\ -pp</t>
  </si>
  <si>
    <t>Lake Ellie_10.14.2023_10x_TM 0.1 dilution -pp</t>
  </si>
  <si>
    <t>Lake\ Ellie_10.14.2023_10x_TM\ 0.1\ dilution\ -pp</t>
  </si>
  <si>
    <t>Lake Ellie_10.30.2023_10x_TM 0.5 dilution-pp</t>
  </si>
  <si>
    <t>Lake\ Ellie_10.30.2023_10x_TM\ 0.5\ dilution-pp</t>
  </si>
  <si>
    <t>Lake Lashaway_5.15.2023_10X_TR1 no dilution-pp</t>
  </si>
  <si>
    <t>Lake\ Lashaway_5.15.2023_10X_TR1\ no\ dilution-pp</t>
  </si>
  <si>
    <t>Lake Lashaway_5.27.23_10x_AI1 no dilution-pp</t>
  </si>
  <si>
    <t>Lake\ Lashaway_5.27.23_10x_AI1\ no\ dilution-pp</t>
  </si>
  <si>
    <t>Lake Lashaway_6.12.2023_10x_TM no dilution-pp</t>
  </si>
  <si>
    <t>Lake\ Lashaway_6.12.2023_10x_TM\ no\ dilution-pp</t>
  </si>
  <si>
    <t>Lake Lashaway_6.24.2023_10x_TM no dilution-pp</t>
  </si>
  <si>
    <t>Lake\ Lashaway_6.24.2023_10x_TM\ no\ dilution-pp</t>
  </si>
  <si>
    <t>Lake Lashaway_7.10.2023_10x_TM 0.5 dilution-pp</t>
  </si>
  <si>
    <t>Lake\ Lashaway_7.10.2023_10x_TM\ 0.5\ dilution-pp</t>
  </si>
  <si>
    <t>Lake Lashaway_7.22.2023_10x_TM 0.5 dilution-pp</t>
  </si>
  <si>
    <t>Lake\ Lashaway_7.22.2023_10x_TM\ 0.5\ dilution-pp</t>
  </si>
  <si>
    <t>Lake Lashaway_8.7.2023_10x_TM 0.5 dilution-pp</t>
  </si>
  <si>
    <t>Lake\ Lashaway_8.7.2023_10x_TM\ 0.5\ dilution-pp</t>
  </si>
  <si>
    <t>Lake Lashaway_8.19.2023_10x_TM 0.5 dilution-pp</t>
  </si>
  <si>
    <t>Lake\ Lashaway_8.19.2023_10x_TM\ 0.5\ dilution-pp</t>
  </si>
  <si>
    <t>Lake Lashaway_9.5.2023_10x_TM 0.5 dilution-pp</t>
  </si>
  <si>
    <t>Lake\ Lashaway_9.5.2023_10x_TM\ 0.5\ dilution-pp</t>
  </si>
  <si>
    <t>Lake Lashaway_9.16.2023_10x_TM 0.5 dilution-pp</t>
  </si>
  <si>
    <t>Lake\ Lashaway_9.16.2023_10x_TM\ 0.5\ dilution-pp</t>
  </si>
  <si>
    <t>Lake Lashaway_10.2.2023_10x_TM 0.5 dilution -pp</t>
  </si>
  <si>
    <t>Lake\ Lashaway_10.2.2023_10x_TM\ 0.5\ dilution\ -pp</t>
  </si>
  <si>
    <t>Lake Lashaway_10.14.2023_10x_TM 0.5 dilution -pp</t>
  </si>
  <si>
    <t>Lake\ Lashaway_10.14.2023_10x_TM\ 0.5\ dilution\ -pp</t>
  </si>
  <si>
    <t>Lake Lashaway_10.30.2023_10x_TM 0.5 dilution 1-pp</t>
  </si>
  <si>
    <t>Lake\ Lashaway_10.30.2023_10x_TM\ 0.5\ dilution\ 1-pp</t>
  </si>
  <si>
    <t>Lake Quinsig_8.7.2023_10x_TM 0.5 dilution-pp</t>
  </si>
  <si>
    <t>Lake\ Quinsig_8.7.2023_10x_TM\ 0.5\ dilution-pp</t>
  </si>
  <si>
    <t>Lake Quinsigamond_5.27.23_10x_AI1 no dilution-pp</t>
  </si>
  <si>
    <t>Lake\ Quinsigamond_5.27.23_10x_AI1\ no\ dilution-pp</t>
  </si>
  <si>
    <t>Lake Quinsigamond_8.19.2023_10x_TM 0.5 dilution-pp 1</t>
  </si>
  <si>
    <t>Lake\ Quinsigamond_8.19.2023_10x_TM\ 0.5\ dilution-pp\ 1</t>
  </si>
  <si>
    <t>Lake Quinsigamond_9.5.2023_10x_TM 0.5 dilution -pp</t>
  </si>
  <si>
    <t>Lake\ Quinsigamond_9.5.2023_10x_TM\ 0.5\ dilution\ -pp</t>
  </si>
  <si>
    <t>Lake Quinsigamond_9.16.2023_10x_TM 0.5 dilution-pp</t>
  </si>
  <si>
    <t>Lake\ Quinsigamond_9.16.2023_10x_TM\ 0.5\ dilution-pp</t>
  </si>
  <si>
    <t>Lake Quinsigamond_10.14.2023_10x_TM 0.5 dilution -pp</t>
  </si>
  <si>
    <t>Lake\ Quinsigamond_10.14.2023_10x_TM\ 0.5\ dilution\ -pp</t>
  </si>
  <si>
    <t>Lake Quinsigamond_10.30.2023_10x_TM 0.5 dilution-pp</t>
  </si>
  <si>
    <t>Lake\ Quinsigamond_10.30.2023_10x_TM\ 0.5\ dilution-pp</t>
  </si>
  <si>
    <t>Lake Waushacum_5.27.23_10x_AI1 no dilution-pp</t>
  </si>
  <si>
    <t>Lake\ Waushacum_5.27.23_10x_AI1\ no\ dilution-pp</t>
  </si>
  <si>
    <t>Lashaway_4.29.23_10x_TR1 no dilution-pp</t>
  </si>
  <si>
    <t>Lashaway_4.29.23_10x_TR1\ no\ dilution-pp</t>
  </si>
  <si>
    <t>Lashaway_6.3.24_10x_TR1 no dilution-PP</t>
  </si>
  <si>
    <t>Lashaway_6.3.24_10x_TR1\ no\ dilution-PP</t>
  </si>
  <si>
    <t>Leeseville_5.27.23_10x_AI1 no dilution-pp</t>
  </si>
  <si>
    <t>Leeseville_5.27.23_10x_AI1\ no\ dilution-pp</t>
  </si>
  <si>
    <t>Leeseville_6.19.21_10x_TR1</t>
  </si>
  <si>
    <t>Leeseville_CR5.21.22_10x_AI1-pp</t>
  </si>
  <si>
    <t>Leeseville_CR6.18.22_10x_TR1-pp</t>
  </si>
  <si>
    <t>Leeseville_CR7.16.22_10x_AI1-pp</t>
  </si>
  <si>
    <t>Leeseville_CR10.15.22_10x_AI1-pp</t>
  </si>
  <si>
    <t>Leeseville_WCMC_CR9.25.21_10x_TR1</t>
  </si>
  <si>
    <t>Leeseville_WCMC_CR9.25.21_10x_TR1-PP</t>
  </si>
  <si>
    <t>Leeseville_WCMC_CR10.16.21_TR1</t>
  </si>
  <si>
    <t>Leeseville_WCMC_CR10.16.21_TR1-PP</t>
  </si>
  <si>
    <t>Leesville Pond_5.15.2023_10X_TR1 no dilution-pp</t>
  </si>
  <si>
    <t>Leesville\ Pond_5.15.2023_10X_TR1\ no\ dilution-pp</t>
  </si>
  <si>
    <t>Leesville Pond_6.24.2023_10x_TM no dilution-pp</t>
  </si>
  <si>
    <t>Leesville\ Pond_6.24.2023_10x_TM\ no\ dilution-pp</t>
  </si>
  <si>
    <t>Leesville Pond_7.22.2023_10x_TM 0.5 dilution-pp</t>
  </si>
  <si>
    <t>Leesville\ Pond_7.22.2023_10x_TM\ 0.5\ dilution-pp</t>
  </si>
  <si>
    <t>Leesville Pond_8.19.2023_10x_TM 0.5 dilution-pp</t>
  </si>
  <si>
    <t>Leesville\ Pond_8.19.2023_10x_TM\ 0.5\ dilution-pp</t>
  </si>
  <si>
    <t>Leesville Pond_9.5.2023_10x_TM 0.5 dilution -pp</t>
  </si>
  <si>
    <t>Leesville\ Pond_9.5.2023_10x_TM\ 0.5\ dilution\ -pp</t>
  </si>
  <si>
    <t>Leesville Pond_9.16.2023_10x_TM 0.5 dilution-pp</t>
  </si>
  <si>
    <t>Leesville\ Pond_9.16.2023_10x_TM\ 0.5\ dilution-pp</t>
  </si>
  <si>
    <t>Leesville Pond_10.30.2023_10x_TM 0.5 dilution-pp</t>
  </si>
  <si>
    <t>Leesville\ Pond_10.30.2023_10x_TM\ 0.5\ dilution-pp</t>
  </si>
  <si>
    <t>Leesville_4.29.23_10x_TR1 no dilution-pp</t>
  </si>
  <si>
    <t>Leesville_4.29.23_10x_TR1\ no\ dilution-pp</t>
  </si>
  <si>
    <t>Leesville_6.12.2023_10x_TM no dilution-pp</t>
  </si>
  <si>
    <t>Leesville_6.12.2023_10x_TM\ no\ dilution-pp</t>
  </si>
  <si>
    <t>Leesville_CR8.27.22_10X_AI1-pp</t>
  </si>
  <si>
    <t>Leesville_CR9.24.22_10x_TR1-pp</t>
  </si>
  <si>
    <t>Little Indian Lake_7.22.2023_10x_TM 0.1 dilution-pp</t>
  </si>
  <si>
    <t>Little\ Indian\ Lake_7.22.2023_10x_TM\ 0.1\ dilution-pp</t>
  </si>
  <si>
    <t>Little Indian Lake_8.7.2023_10x_TM 0.1 dilution-pp</t>
  </si>
  <si>
    <t>Little\ Indian\ Lake_8.7.2023_10x_TM\ 0.1\ dilution-pp</t>
  </si>
  <si>
    <t>Little Indian Lake_9.5.2023_10x_TM 0.1 dilution -pp</t>
  </si>
  <si>
    <t>Little\ Indian\ Lake_9.5.2023_10x_TM\ 0.1\ dilution\ -pp</t>
  </si>
  <si>
    <t>Little Indian Lake_10.14.2023_10x_TM 0.1 dilution -pp</t>
  </si>
  <si>
    <t>Little\ Indian\ Lake_10.14.2023_10x_TM\ 0.1\ dilution\ -pp</t>
  </si>
  <si>
    <t>Little Indian Lake_10.30.2023_10x_TM 0.5 dilution-pp</t>
  </si>
  <si>
    <t>Little\ Indian\ Lake_10.30.2023_10x_TM\ 0.5\ dilution-pp</t>
  </si>
  <si>
    <t>Little Indian_4.29.23_10x_TR1 0.5 dilution-pp</t>
  </si>
  <si>
    <t>Little\ Indian_4.29.23_10x_TR1\ 0.5\ dilution-pp</t>
  </si>
  <si>
    <t>Little Indian_5.15.2023_10X_TR1 0.5 dilution-pp</t>
  </si>
  <si>
    <t>Little\ Indian_5.15.2023_10X_TR1\ 0.5\ dilution-pp</t>
  </si>
  <si>
    <t>Little Indian_5.27.23_10x_TR1 .1 dilution-pp</t>
  </si>
  <si>
    <t>Little\ Indian_5.27.23_10x_TR1\ .1\ dilution-pp</t>
  </si>
  <si>
    <t>Little Indian_6.3.24_10x_TR1 0.5 Dilution-pp</t>
  </si>
  <si>
    <t>Little\ Indian_6.3.24_10x_TR1\ 0.5\ Dilution-pp</t>
  </si>
  <si>
    <t>Little Indian_6.12.2023_10x_TM 0.5 dilution 2-pp</t>
  </si>
  <si>
    <t>Little\ Indian_6.12.2023_10x_TM\ 0.5\ dilution\ 2-pp</t>
  </si>
  <si>
    <t>Little Indian_6.12.2023_10x_TM 0.5 dilution-pp</t>
  </si>
  <si>
    <t>Little\ Indian_6.12.2023_10x_TM\ 0.5\ dilution-pp</t>
  </si>
  <si>
    <t>Little Indian_6.24.2023_10x_TM 0.1 dilution-pp</t>
  </si>
  <si>
    <t>Little\ Indian_6.24.2023_10x_TM\ 0.1\ dilution-pp</t>
  </si>
  <si>
    <t>Little Indian_6.24.2023_10x_TM 0.5 dilution-pp</t>
  </si>
  <si>
    <t>Little\ Indian_6.24.2023_10x_TM\ 0.5\ dilution-pp</t>
  </si>
  <si>
    <t>Little Indian_7.10.2023_10x_TM 0.1 dilution-pp</t>
  </si>
  <si>
    <t>Little\ Indian_7.10.2023_10x_TM\ 0.1\ dilution-pp</t>
  </si>
  <si>
    <t>Little Indian_8.19.2023_10x_TM 0.5 dilution-pp</t>
  </si>
  <si>
    <t>Little\ Indian_8.19.2023_10x_TM\ 0.5\ dilution-pp</t>
  </si>
  <si>
    <t>Little Indian_9.16.2023_10x_TM 0.1 dilution-pp</t>
  </si>
  <si>
    <t>Little\ Indian_9.16.2023_10x_TM\ 0.1\ dilution-pp</t>
  </si>
  <si>
    <t>Little Indian_10.2.2023_10x_TM 0.1 dilution -pp</t>
  </si>
  <si>
    <t>Little\ Indian_10.2.2023_10x_TM\ 0.1\ dilution\ -pp</t>
  </si>
  <si>
    <t>Little Indian_CR5.21.22_10x_AI1-pp</t>
  </si>
  <si>
    <t>Little\ Indian_CR5.21.22_10x_AI1-pp</t>
  </si>
  <si>
    <t>Little Indian_CR8.27.22_10X_AI1-pp</t>
  </si>
  <si>
    <t>Little\ Indian_CR8.27.22_10X_AI1-pp</t>
  </si>
  <si>
    <t>Little Indian_CR9.24.22_10x_TR1 0.1 dilution-pp</t>
  </si>
  <si>
    <t>Little\ Indian_CR9.24.22_10x_TR1\ 0.1\ dilution-pp</t>
  </si>
  <si>
    <t>LittleIndian_CR5.2.22_10x_TR1-pp</t>
  </si>
  <si>
    <t>LittleIndian_CR6.6.22_10x_TR1-pp</t>
  </si>
  <si>
    <t>LittleIndian_CR6.18.22_10x_TR1 .25 dilution-pp</t>
  </si>
  <si>
    <t>LittleIndian_CR6.18.22_10x_TR1\ .25\ dilution-pp</t>
  </si>
  <si>
    <t>LittleIndian_CR7.5.22_10x_TR1 .1 dilution-pp</t>
  </si>
  <si>
    <t>LittleIndian_CR7.5.22_10x_TR1\ .1\ dilution-pp</t>
  </si>
  <si>
    <t>LittleIndian_CR7.16.22_10x_AI1-pp</t>
  </si>
  <si>
    <t>LittleIndian_CR8.1.22_10x_TR1-1 0.1 dilution - pp</t>
  </si>
  <si>
    <t>LittleIndian_CR8.1.22_10x_TR1-1\ 0.1\ dilution\ -\ pp</t>
  </si>
  <si>
    <t>LittleIndian_CR10.15.22_10x_AI1 .1dilution-pp</t>
  </si>
  <si>
    <t>LittleIndian_CR10.15.22_10x_AI1\ .1dilution-pp</t>
  </si>
  <si>
    <t>LittleIndian_WCMC_CR9.25.21_10x_TR1</t>
  </si>
  <si>
    <t>LittleIndian_WCMC_CR9.25.21_10x_TR1-PP</t>
  </si>
  <si>
    <t>LittleIndian_WCMC_CR10.16.21_TR1</t>
  </si>
  <si>
    <t>LittleIndian_WCMC_CR10.16.21_TR1-PP</t>
  </si>
  <si>
    <t>Manchaug Pond_5.15.2023_10X_TR1 no dilution-pp</t>
  </si>
  <si>
    <t>Manchaug\ Pond_5.15.2023_10X_TR1\ no\ dilution-pp</t>
  </si>
  <si>
    <t>Manchaug Pond_6.24.2023_10x_TM no dilution-pp</t>
  </si>
  <si>
    <t>Manchaug\ Pond_6.24.2023_10x_TM\ no\ dilution-pp</t>
  </si>
  <si>
    <t>Manchaug Pond_7.10.2023_10x_TM 0.5 dilution-pp</t>
  </si>
  <si>
    <t>Manchaug\ Pond_7.10.2023_10x_TM\ 0.5\ dilution-pp</t>
  </si>
  <si>
    <t>Manchaug Pond_7.22.2023_10x_TM 0.5 dilution-pp</t>
  </si>
  <si>
    <t>Manchaug\ Pond_7.22.2023_10x_TM\ 0.5\ dilution-pp</t>
  </si>
  <si>
    <t>Manchaug Pond_8.7.2023_10x_TM 0.5 dilution-pp</t>
  </si>
  <si>
    <t>Manchaug\ Pond_8.7.2023_10x_TM\ 0.5\ dilution-pp</t>
  </si>
  <si>
    <t>Manchaug Pond_8.19.2023_10x_TM 0.5 dilution-PP</t>
  </si>
  <si>
    <t>Manchaug\ Pond_8.19.2023_10x_TM\ 0.5\ dilution-PP</t>
  </si>
  <si>
    <t>Manchaug Pond_9.5.2023_10x_TM 0.5 dilution-pp</t>
  </si>
  <si>
    <t>Manchaug\ Pond_9.5.2023_10x_TM\ 0.5\ dilution-pp</t>
  </si>
  <si>
    <t>Manchaug Pond_9.16.2023_10x_TM 0.5 dilution-pp</t>
  </si>
  <si>
    <t>Manchaug\ Pond_9.16.2023_10x_TM\ 0.5\ dilution-pp</t>
  </si>
  <si>
    <t>Manchaug Pond_10.2.2023_10x_TM 0.5 dilution -pp</t>
  </si>
  <si>
    <t>Manchaug\ Pond_10.2.2023_10x_TM\ 0.5\ dilution\ -pp</t>
  </si>
  <si>
    <t>Manchaug Pond_10.14.2023_10x_TM 0.5 dilution -pp</t>
  </si>
  <si>
    <t>Manchaug\ Pond_10.14.2023_10x_TM\ 0.5\ dilution\ -pp</t>
  </si>
  <si>
    <t>Manchaug_4.29.23_10x_TR1 no dilution-pp</t>
  </si>
  <si>
    <t>Manchaug_4.29.23_10x_TR1\ no\ dilution-pp</t>
  </si>
  <si>
    <t>Manchaug_5.27.23_10x_AI1 no dilution-pp</t>
  </si>
  <si>
    <t>Manchaug_5.27.23_10x_AI1\ no\ dilution-pp</t>
  </si>
  <si>
    <t>Manchaug_6.3.24_10x_TR1 no dilution-PP</t>
  </si>
  <si>
    <t>Manchaug_6.3.24_10x_TR1\ no\ dilution-PP</t>
  </si>
  <si>
    <t>Manchaug_6.12.2023_10x_TM no dilution-pp</t>
  </si>
  <si>
    <t>Manchaug_6.12.2023_10x_TM\ no\ dilution-pp</t>
  </si>
  <si>
    <t>Manchaug_6.19.21_10x_TR1</t>
  </si>
  <si>
    <t>Manchaug_CR5.2.22_10x_TR1-pp</t>
  </si>
  <si>
    <t>Manchaug_CR5.21.22_10x_AI1-pp</t>
  </si>
  <si>
    <t>Manchaug_CR6.6.22_10x_TR1-pp</t>
  </si>
  <si>
    <t>Manchaug_CR6.18.22_10x_TR1-pp</t>
  </si>
  <si>
    <t>Manchaug_CR7.5.22_10x_TR1-pp</t>
  </si>
  <si>
    <t>Manchaug_CR7.16.22_10x_AI1-pp</t>
  </si>
  <si>
    <t>Manchaug_CR8.1.22_10x_TR1-1 - pp</t>
  </si>
  <si>
    <t>Manchaug_CR8.1.22_10x_TR1-1\ -\ pp</t>
  </si>
  <si>
    <t>Manchaug_CR8.27.22_10X_AI1-pp</t>
  </si>
  <si>
    <t>Manchaug_CR9.12.22_10xAI1-pp</t>
  </si>
  <si>
    <t>Manchaug_CR9.24.22_10x_TR1-pp</t>
  </si>
  <si>
    <t>Manchaug_CR10.3.22_10x_AI1-pp</t>
  </si>
  <si>
    <t>Manchaug_CR10.15.22_10x_AI1-pp</t>
  </si>
  <si>
    <t>Manchaug_WCMC_CR9.25.21_10x_TR1</t>
  </si>
  <si>
    <t>Manchaug_WCMC_CR9.25.21_10x_TR1-PP</t>
  </si>
  <si>
    <t>Manchaug_WCMC_CR10.16.21_TR1</t>
  </si>
  <si>
    <t>Manchaug_WCMC_CR10.16.21_TR1-PP</t>
  </si>
  <si>
    <t>Newton Pond_5.15.2023_10X_TR1 no dilution-pp</t>
  </si>
  <si>
    <t>Newton\ Pond_5.15.2023_10X_TR1\ no\ dilution-pp</t>
  </si>
  <si>
    <t>Newton Pond_6.12.2023_10x_TM no dilution-pp</t>
  </si>
  <si>
    <t>Newton\ Pond_6.12.2023_10x_TM\ no\ dilution-pp</t>
  </si>
  <si>
    <t>Newton Pond_6.24.2023_10x_TM no dilution-pp</t>
  </si>
  <si>
    <t>Newton\ Pond_6.24.2023_10x_TM\ no\ dilution-pp</t>
  </si>
  <si>
    <t>Newton Pond_7.10.2023_10x_TM 0.5 dilution-pp</t>
  </si>
  <si>
    <t>Newton\ Pond_7.10.2023_10x_TM\ 0.5\ dilution-pp</t>
  </si>
  <si>
    <t>Newton Pond_7.22.2023_10x_TM 0.5 dilution-pp</t>
  </si>
  <si>
    <t>Newton\ Pond_7.22.2023_10x_TM\ 0.5\ dilution-pp</t>
  </si>
  <si>
    <t>Newton Pond_8.7.2023_10x_TM 0.5 dilution-pp</t>
  </si>
  <si>
    <t>Newton\ Pond_8.7.2023_10x_TM\ 0.5\ dilution-pp</t>
  </si>
  <si>
    <t>Newton Pond_8.19.2023_10x_TM 0.5 dilution-PP</t>
  </si>
  <si>
    <t>Newton\ Pond_8.19.2023_10x_TM\ 0.5\ dilution-PP</t>
  </si>
  <si>
    <t>Newton Pond_9.5.2023_10x_TM 0.5 dilution-pp</t>
  </si>
  <si>
    <t>Newton\ Pond_9.5.2023_10x_TM\ 0.5\ dilution-pp</t>
  </si>
  <si>
    <t>Newton Pond_9.16.2023_10x_TM 0.5 dilution-pp</t>
  </si>
  <si>
    <t>Newton\ Pond_9.16.2023_10x_TM\ 0.5\ dilution-pp</t>
  </si>
  <si>
    <t>Newton Pond_10.2.2023_10x_TM 0.5 dilution -pp</t>
  </si>
  <si>
    <t>Newton\ Pond_10.2.2023_10x_TM\ 0.5\ dilution\ -pp</t>
  </si>
  <si>
    <t>Newton Pond_10.14.2023_10x_TM 0.5 dilution -pp</t>
  </si>
  <si>
    <t>Newton\ Pond_10.14.2023_10x_TM\ 0.5\ dilution\ -pp</t>
  </si>
  <si>
    <t>Newton_4.29.23_10x_TR1 no dilution-pp</t>
  </si>
  <si>
    <t>Newton_4.29.23_10x_TR1\ no\ dilution-pp</t>
  </si>
  <si>
    <t>Newton_5.27.23_10x_TR2 no dilution-pp</t>
  </si>
  <si>
    <t>Newton_5.27.23_10x_TR2\ no\ dilution-pp</t>
  </si>
  <si>
    <t>Newton_6.3.24_10x_TR1 no dilution-pp</t>
  </si>
  <si>
    <t>Newton_6.3.24_10x_TR1\ no\ dilution-pp</t>
  </si>
  <si>
    <t>Newton_6.19.21_10x_TR1</t>
  </si>
  <si>
    <t>Newton_CR5.2.22_10x_TR1-pp</t>
  </si>
  <si>
    <t>Newton_CR5.21.22_10x_AI1-pp</t>
  </si>
  <si>
    <t>Newton_CR6.6.22_10x_TR1-pp1</t>
  </si>
  <si>
    <t>Newton_CR7.5.22_10x_TR1-pp</t>
  </si>
  <si>
    <t>Newton_CR7.16.22_10x_AI1</t>
  </si>
  <si>
    <t>Newton_CR7.16.22_10x_AI2-pp</t>
  </si>
  <si>
    <t>Newton_CR8.1.22_10x_TR1-1 - pp</t>
  </si>
  <si>
    <t>Newton_CR8.1.22_10x_TR1-1\ -\ pp</t>
  </si>
  <si>
    <t>Newton_CR8.27.22_10X_AI1-pp</t>
  </si>
  <si>
    <t>Newton_CR9.12.22_10xAI1-pp</t>
  </si>
  <si>
    <t>Newton_CR9.24.22_10x_TR1-pp</t>
  </si>
  <si>
    <t>Newton_CR10.3.22_10x_AI1-pp</t>
  </si>
  <si>
    <t>Newton_CR10.15.22_10x_AI1-pp</t>
  </si>
  <si>
    <t>Newton_WCMC_CR9.25.21_10x_TR1</t>
  </si>
  <si>
    <t>Newton_WCMC_CR10.16.21_TR1</t>
  </si>
  <si>
    <t>Newton_WCMC_CR10.16.21_TR1-PP</t>
  </si>
  <si>
    <t>NewtonPond_CR6.18.22_10x_TR1-pp</t>
  </si>
  <si>
    <t>nolable_6.19.21_10x_TR1</t>
  </si>
  <si>
    <t>Patch Pond_4.29.23_10x_TR1 0.5 dilution-pp</t>
  </si>
  <si>
    <t>Patch\ Pond_4.29.23_10x_TR1\ 0.5\ dilution-pp</t>
  </si>
  <si>
    <t>Patch Pond_5.15.2023_10X_TR1 0.5 dilution-pp</t>
  </si>
  <si>
    <t>Patch\ Pond_5.15.2023_10X_TR1\ 0.5\ dilution-pp</t>
  </si>
  <si>
    <t>Patch Pond_5.27.23_10x_TR1 .1 dilution-pp</t>
  </si>
  <si>
    <t>Patch\ Pond_5.27.23_10x_TR1\ .1\ dilution-pp</t>
  </si>
  <si>
    <t>Patch Pond_6.12.2023_10x_TM 0.1 dilution-pp</t>
  </si>
  <si>
    <t>Patch\ Pond_6.12.2023_10x_TM\ 0.1\ dilution-pp</t>
  </si>
  <si>
    <t>Patch Pond_6.24.2023_10x_TM 0.5 dilution-pp</t>
  </si>
  <si>
    <t>Patch\ Pond_6.24.2023_10x_TM\ 0.5\ dilution-pp</t>
  </si>
  <si>
    <t>Patch Pond_7.10.2023_10x_TM 0.5 dilution-pp</t>
  </si>
  <si>
    <t>Patch\ Pond_7.10.2023_10x_TM\ 0.5\ dilution-pp</t>
  </si>
  <si>
    <t>Patch Pond_7.22.2023_10x_TM 0.5 dilution-pp</t>
  </si>
  <si>
    <t>Patch\ Pond_7.22.2023_10x_TM\ 0.5\ dilution-pp</t>
  </si>
  <si>
    <t>Patch Pond_8.7.2023_10x_TM 0.1 dilution-pp</t>
  </si>
  <si>
    <t>Patch\ Pond_8.7.2023_10x_TM\ 0.1\ dilution-pp</t>
  </si>
  <si>
    <t>Patch Pond_8.19.2023_10x_TM 0.5 dilution 2-pp</t>
  </si>
  <si>
    <t>Patch\ Pond_8.19.2023_10x_TM\ 0.5\ dilution\ 2-pp</t>
  </si>
  <si>
    <t>Patch Pond_9.5.2023_10x_TM 0.5 dilution -pp</t>
  </si>
  <si>
    <t>Patch\ Pond_9.5.2023_10x_TM\ 0.5\ dilution\ -pp</t>
  </si>
  <si>
    <t>Patch Pond_9.16.2023_10x_TM 0.5 dilution-pp</t>
  </si>
  <si>
    <t>Patch\ Pond_9.16.2023_10x_TM\ 0.5\ dilution-pp</t>
  </si>
  <si>
    <t>Patch Pond_10.2.2023_10x_TM 0.5 dilution -pp</t>
  </si>
  <si>
    <t>Patch\ Pond_10.2.2023_10x_TM\ 0.5\ dilution\ -pp</t>
  </si>
  <si>
    <t>Patch Pond_10.14.2023_10x_TM 0.5 dilution -pp</t>
  </si>
  <si>
    <t>Patch\ Pond_10.14.2023_10x_TM\ 0.5\ dilution\ -pp</t>
  </si>
  <si>
    <t>Patch Pond_10.30.2023_10x_TM 0.5 dilution-pp</t>
  </si>
  <si>
    <t>Patch\ Pond_10.30.2023_10x_TM\ 0.5\ dilution-pp</t>
  </si>
  <si>
    <t>Patch Pond_10.30.2023_10x_TM 0.5 dilution-pp IMPORT TEST</t>
  </si>
  <si>
    <t>Patch\ Pond_10.30.2023_10x_TM\ 0.5\ dilution-pp\ IMPORT\ TEST</t>
  </si>
  <si>
    <t>Patch Pond_CR9.24.22_10x_TR1 0.1 dilution-pp</t>
  </si>
  <si>
    <t>Patch\ Pond_CR9.24.22_10x_TR1\ 0.1\ dilution-pp</t>
  </si>
  <si>
    <t>Patch Pond_CR10.3.22_10x AI1 0.1 dilution-pp</t>
  </si>
  <si>
    <t>Patch\ Pond_CR10.3.22_10x\ AI1\ 0.1\ dilution-pp</t>
  </si>
  <si>
    <t>Patch Res Breeze Dr_7.10.2023_10x_TM 0.5 dilution-pp</t>
  </si>
  <si>
    <t>Patch\ Res\ Breeze\ Dr_7.10.2023_10x_TM\ 0.5\ dilution-pp</t>
  </si>
  <si>
    <t>Patch Res Breeze Dr_7.22.2023_10x_TM 0.5 dilution-pp</t>
  </si>
  <si>
    <t>Patch\ Res\ Breeze\ Dr_7.22.2023_10x_TM\ 0.5\ dilution-pp</t>
  </si>
  <si>
    <t>Patch Res_4.29.23_10x_TR1 no dilution-pp</t>
  </si>
  <si>
    <t>Patch\ Res_4.29.23_10x_TR1\ no\ dilution-pp</t>
  </si>
  <si>
    <t>Patch Res_5.27.23_10x_AI1 .1 dilution-pp</t>
  </si>
  <si>
    <t>Patch\ Res_5.27.23_10x_AI1\ .1\ dilution-pp</t>
  </si>
  <si>
    <t>Patch Res_6.12.2023_10x_TM 0.5 dilution-ppp</t>
  </si>
  <si>
    <t>Patch\ Res_6.12.2023_10x_TM\ 0.5\ dilution-ppp</t>
  </si>
  <si>
    <t>Patch Res_7.10.2023_10x_TM 0.5 dilution-pp</t>
  </si>
  <si>
    <t>Patch\ Res_7.10.2023_10x_TM\ 0.5\ dilution-pp</t>
  </si>
  <si>
    <t>Patch Res_7.10.2023_SCUM_10x_TM 0.1 dilution-pp</t>
  </si>
  <si>
    <t>Patch\ Res_7.10.2023_SCUM_10x_TM\ 0.1\ dilution-pp</t>
  </si>
  <si>
    <t>Patch Res_7.22.2023_10x_TM 0.5 dilution-pp</t>
  </si>
  <si>
    <t>Patch\ Res_7.22.2023_10x_TM\ 0.5\ dilution-pp</t>
  </si>
  <si>
    <t>Patch Res_8.19.2023_10x_TM 0.5 dilution-pp</t>
  </si>
  <si>
    <t>Patch\ Res_8.19.2023_10x_TM\ 0.5\ dilution-pp</t>
  </si>
  <si>
    <t>Patch Res_9.5.2023_10x_TM 0.5 dilution -pp</t>
  </si>
  <si>
    <t>Patch\ Res_9.5.2023_10x_TM\ 0.5\ dilution\ -pp</t>
  </si>
  <si>
    <t>Patch Res_9.16.2023_10x_TM 0.5 dilution-pp</t>
  </si>
  <si>
    <t>Patch\ Res_9.16.2023_10x_TM\ 0.5\ dilution-pp</t>
  </si>
  <si>
    <t>Patch Res_10.2.2023_10x_TM 0.5 dilution -pp</t>
  </si>
  <si>
    <t>Patch\ Res_10.2.2023_10x_TM\ 0.5\ dilution\ -pp</t>
  </si>
  <si>
    <t>Patch Res_10.30.2023_10x_TM 0.5 dilution-pp</t>
  </si>
  <si>
    <t>Patch\ Res_10.30.2023_10x_TM\ 0.5\ dilution-pp</t>
  </si>
  <si>
    <t>Patch reservoir Breeze_8.7.2023_10x_TM 0.5 dilution-pp</t>
  </si>
  <si>
    <t>Patch\ reservoir\ Breeze_8.7.2023_10x_TM\ 0.5\ dilution-pp</t>
  </si>
  <si>
    <t>Patch Reservoir_5.15.2023_10X_TR1 no dilution-pp</t>
  </si>
  <si>
    <t>Patch\ Reservoir_5.15.2023_10X_TR1\ no\ dilution-pp</t>
  </si>
  <si>
    <t>Patch Reservoir_6.12.2023_10x_TM no dilution-pp</t>
  </si>
  <si>
    <t>Patch\ Reservoir_6.12.2023_10x_TM\ no\ dilution-pp</t>
  </si>
  <si>
    <t>Patch Reservoir_6.24.2023_10x_TM no dilution-pp</t>
  </si>
  <si>
    <t>Patch\ Reservoir_6.24.2023_10x_TM\ no\ dilution-pp</t>
  </si>
  <si>
    <t>Patch Reservoir_8.7.2023_10x_TM 0.5 dilution-pp</t>
  </si>
  <si>
    <t>Patch\ Reservoir_8.7.2023_10x_TM\ 0.5\ dilution-pp</t>
  </si>
  <si>
    <t>Patch Reservoir_10.14.2023_10x_TM 0.5 dilution -pp</t>
  </si>
  <si>
    <t>Patch\ Reservoir_10.14.2023_10x_TM\ 0.5\ dilution\ -pp</t>
  </si>
  <si>
    <t>Patch Reservoir_CR9.12.22_10xAI 0.1 dilution-pp</t>
  </si>
  <si>
    <t>Patch\ Reservoir_CR9.12.22_10xAI\ 0.1\ dilution-pp</t>
  </si>
  <si>
    <t>Patch_6.19.21_10x_TR1</t>
  </si>
  <si>
    <t>PatchPond_CR5.2.22_10x_TR1-pp</t>
  </si>
  <si>
    <t>PatchPond_CR5.21.22_10x_AI1-pp2</t>
  </si>
  <si>
    <t>PatchPond_CR6.6.22_10x_TR1 .1dilution-pp</t>
  </si>
  <si>
    <t>PatchPond_CR6.6.22_10x_TR1\ .1dilution-pp</t>
  </si>
  <si>
    <t>PatchPond_CR6.18.22_10x_TR1-pp</t>
  </si>
  <si>
    <t>PatchPond_CR7.5.22_10x_TR1-pp</t>
  </si>
  <si>
    <t>PatchPond_CR7.16.22_10x_AI1 0.1 dilution-pp</t>
  </si>
  <si>
    <t>PatchPond_CR7.16.22_10x_AI1\ 0.1\ dilution-pp</t>
  </si>
  <si>
    <t>PatchPond_CR8.27.22_10X_AI1 0.1 dilution-pp</t>
  </si>
  <si>
    <t>PatchPond_CR8.27.22_10X_AI1\ 0.1\ dilution-pp</t>
  </si>
  <si>
    <t>PatchPond_CR10.15.22_10x_AI1-pp</t>
  </si>
  <si>
    <t>PatchRes_CR5.2.22_10x_TR1-pp</t>
  </si>
  <si>
    <t>PatchRes_CR6.6.22_10x_TR1-pp</t>
  </si>
  <si>
    <t>PatchRes_CR7.5.22_10x_TR1 .1 dilution-pp</t>
  </si>
  <si>
    <t>PatchRes_CR7.5.22_10x_TR1\ .1\ dilution-pp</t>
  </si>
  <si>
    <t>PatchRes_CR8.1.22_10x_TR1-1 - pp</t>
  </si>
  <si>
    <t>PatchRes_CR8.1.22_10x_TR1-1\ -\ pp</t>
  </si>
  <si>
    <t>PatchRes_WCMC_CR9.25.21_10x_TR1</t>
  </si>
  <si>
    <t>Quinsig Kings Point_6.3.24_10x_TR1 no dilution-pp</t>
  </si>
  <si>
    <t>Quinsig\ Kings\ Point_6.3.24_10x_TR1\ no\ dilution-pp</t>
  </si>
  <si>
    <t>Quinsig Lake Park_6.3.24_10x_TR1 no dilution-pp</t>
  </si>
  <si>
    <t>Quinsig\ Lake\ Park_6.3.24_10x_TR1\ no\ dilution-pp</t>
  </si>
  <si>
    <t>Quinsig_4.29.23_10x_TR1 no dilution-pp</t>
  </si>
  <si>
    <t>Quinsig_4.29.23_10x_TR1\ no\ dilution-pp</t>
  </si>
  <si>
    <t>Quinsig_5.15.2023_10X_TR1 no dilution-pp</t>
  </si>
  <si>
    <t>Quinsig_5.15.2023_10X_TR1\ no\ dilution-pp</t>
  </si>
  <si>
    <t>Quinsig_6.12.2023_10x_TM no dilution-pp</t>
  </si>
  <si>
    <t>Quinsig_6.12.2023_10x_TM\ no\ dilution-pp</t>
  </si>
  <si>
    <t>Quinsig_6.19.21_10x_TR1</t>
  </si>
  <si>
    <t>Quinsig_6.24.2023_10x_TM no dilution-pp</t>
  </si>
  <si>
    <t>Quinsig_6.24.2023_10x_TM\ no\ dilution-pp</t>
  </si>
  <si>
    <t>Quinsig_7.10.2023_10x_TM 0.5 dilution-pp</t>
  </si>
  <si>
    <t>Quinsig_7.10.2023_10x_TM\ 0.5\ dilution-pp</t>
  </si>
  <si>
    <t>Quinsig_7.22.2023_10x_TM 0.5 dilution-pp</t>
  </si>
  <si>
    <t>Quinsig_7.22.2023_10x_TM\ 0.5\ dilution-pp</t>
  </si>
  <si>
    <t>Quinsig_CR5.21.22_10x_AI1-pp</t>
  </si>
  <si>
    <t>Quinsig_CR6.6.22_10x_TR1-pp</t>
  </si>
  <si>
    <t>Quinsig_CR6.18.22_10x_TR1-pp</t>
  </si>
  <si>
    <t>Quinsig_CR7.5.22_10x_TR1-pp</t>
  </si>
  <si>
    <t>Quinsig_CR7.16.22_10x_AI1-pp</t>
  </si>
  <si>
    <t>Quinsig_CR8.1.22_10x_TR1-1-pp</t>
  </si>
  <si>
    <t>Quinsig_CR9.24.22_10x_TR1-pp</t>
  </si>
  <si>
    <t>Quinsig_CR9.28.22_10x_AI1</t>
  </si>
  <si>
    <t>2022-09-28</t>
  </si>
  <si>
    <t>Quinsig_CR10.15.22_10x_AI1-pp</t>
  </si>
  <si>
    <t>Quinsig_WCMC_CR9.25.21_10x_TR1</t>
  </si>
  <si>
    <t>Quinsig_WCMC_CR10.16.21_TR1</t>
  </si>
  <si>
    <t>Quinsig_WCMC_CR10.16.21_TR1-PP</t>
  </si>
  <si>
    <t>Salisbury Pond_5.15.2023_10X_TR1 0.5 dilution-pp</t>
  </si>
  <si>
    <t>Salisbury\ Pond_5.15.2023_10X_TR1\ 0.5\ dilution-pp</t>
  </si>
  <si>
    <t>Salisbury Pond_6.24.2023_10x_TM 0.1 dilution-pp</t>
  </si>
  <si>
    <t>Salisbury\ Pond_6.24.2023_10x_TM\ 0.1\ dilution-pp</t>
  </si>
  <si>
    <t>Salisbury Pond_7.22.2023_10x_TM 0.5 dilution-pp</t>
  </si>
  <si>
    <t>Salisbury\ Pond_7.22.2023_10x_TM\ 0.5\ dilution-pp</t>
  </si>
  <si>
    <t>Salisbury Pond_8.19.2023_10x_TM 0.5 dilution -pp</t>
  </si>
  <si>
    <t>Salisbury\ Pond_8.19.2023_10x_TM\ 0.5\ dilution\ -pp</t>
  </si>
  <si>
    <t>Salisbury Pond_9.16.2023_10x_TM 0.5 dilution</t>
  </si>
  <si>
    <t>Salisbury\ Pond_9.16.2023_10x_TM\ 0.5\ dilution</t>
  </si>
  <si>
    <t>Salisbury Pond_9.16.2023_10x_TM 0.5 dilution-pp</t>
  </si>
  <si>
    <t>Salisbury\ Pond_9.16.2023_10x_TM\ 0.5\ dilution-pp</t>
  </si>
  <si>
    <t>Salisbury Pond_10.2.2023_10x_TM 0.1 dilution -pp</t>
  </si>
  <si>
    <t>Salisbury\ Pond_10.2.2023_10x_TM\ 0.1\ dilution\ -pp</t>
  </si>
  <si>
    <t>Salisbury Pond_10.14.2023_10x_TM 0.5 dilution -pp</t>
  </si>
  <si>
    <t>Salisbury\ Pond_10.14.2023_10x_TM\ 0.5\ dilution\ -pp</t>
  </si>
  <si>
    <t>Salisbury_4.19.23_10x_TR1 0.5</t>
  </si>
  <si>
    <t>2023-04-19</t>
  </si>
  <si>
    <t>Salisbury_4.19.23_10x_TR1\ 0.5</t>
  </si>
  <si>
    <t>Salisbury_4.29.23_10x_TR1 0.5 dilution-pp</t>
  </si>
  <si>
    <t>Salisbury_4.29.23_10x_TR1\ 0.5\ dilution-pp</t>
  </si>
  <si>
    <t>Salisbury_5.27.23_10x_TR1 .5 dilution-pp</t>
  </si>
  <si>
    <t>Salisbury_5.27.23_10x_TR1\ .5\ dilution-pp</t>
  </si>
  <si>
    <t>Salisbury_6.19.21_10x_TR1</t>
  </si>
  <si>
    <t>Salisbury_CR5.2.22_10x_TR1-pp</t>
  </si>
  <si>
    <t>Salisbury_CR5.21.22_10x_AI1-pp</t>
  </si>
  <si>
    <t>Salisbury_CR6.6.22_10x_TR1-pp</t>
  </si>
  <si>
    <t>Salisbury_CR6.18.22_10x_TR1-pp</t>
  </si>
  <si>
    <t>Salisbury_CR7.5.22_10x_TR1 .1 dilution-pp</t>
  </si>
  <si>
    <t>Salisbury_CR7.5.22_10x_TR1\ .1\ dilution-pp</t>
  </si>
  <si>
    <t>Salisbury_CR7.16.22_10x_AI1 .1dilition-pp</t>
  </si>
  <si>
    <t>Salisbury_CR7.16.22_10x_AI1\ .1dilition-pp</t>
  </si>
  <si>
    <t>Salisbury_CR8.1.22_10x_TR1-1 0.1 dilution - pp</t>
  </si>
  <si>
    <t>Salisbury_CR8.1.22_10x_TR1-1\ 0.1\ dilution\ -\ pp</t>
  </si>
  <si>
    <t>Salisbury_CR9.12.22_10xAI1 0.1 dilution-pp</t>
  </si>
  <si>
    <t>Salisbury_CR9.12.22_10xAI1\ 0.1\ dilution-pp</t>
  </si>
  <si>
    <t>Salisbury_CR9.24.22_10x_TR1 0.1 dilution-pp</t>
  </si>
  <si>
    <t>Salisbury_CR9.24.22_10x_TR1\ 0.1\ dilution-pp</t>
  </si>
  <si>
    <t>Salisbury_CR10.3.22_10x AI1 0.1 dilution-pp</t>
  </si>
  <si>
    <t>Salisbury_CR10.3.22_10x\ AI1\ 0.1\ dilution-pp</t>
  </si>
  <si>
    <t>Salisbury_WCMC_CR9.25.21_10x_TR1</t>
  </si>
  <si>
    <t>Salisbury_WCMC_CR9.25.21_10x_TR1-PP</t>
  </si>
  <si>
    <t>Salisbury_WCMC_CR10.16.21_TR1</t>
  </si>
  <si>
    <t>Salisbury_WCMC_CR10.16.21_TR1-PP</t>
  </si>
  <si>
    <t>Singletary_CR5.2.22_10x_TR1-pp</t>
  </si>
  <si>
    <t>Singletary_CR5.21.22_10x_AI1-pp</t>
  </si>
  <si>
    <t>Singletary_CR6.6.22_10x_TR1-pp</t>
  </si>
  <si>
    <t>Singletary_CR6.18.22_10x_TR1-pp</t>
  </si>
  <si>
    <t>Singletary_CR7.5.22_10x_TR1-pp</t>
  </si>
  <si>
    <t>Singletary_CR7.16.22_10x_AI1-pp</t>
  </si>
  <si>
    <t>Singletary_CR8.1.22_10x_TR1-1 - pp</t>
  </si>
  <si>
    <t>Singletary_CR8.1.22_10x_TR1-1\ -\ pp</t>
  </si>
  <si>
    <t>Sterling_CR5.21.22_10x_AI1-pp</t>
  </si>
  <si>
    <t>Sterling_CR6.18.22_10x_TR1-pp</t>
  </si>
  <si>
    <t>Sterling_CR10.15.22_10x_AI1-pp</t>
  </si>
  <si>
    <t>Stevens Pond_5.15.2023_10X_TR1 no dilution-pp</t>
  </si>
  <si>
    <t>Stevens\ Pond_5.15.2023_10X_TR1\ no\ dilution-pp</t>
  </si>
  <si>
    <t>Stevens Pond_6.24.2023_10x_TM no dilution-pp</t>
  </si>
  <si>
    <t>Stevens\ Pond_6.24.2023_10x_TM\ no\ dilution-pp</t>
  </si>
  <si>
    <t>Stevens Pond_7.10.2023_10x_TM 0.5 dilution-pp</t>
  </si>
  <si>
    <t>Stevens\ Pond_7.10.2023_10x_TM\ 0.5\ dilution-pp</t>
  </si>
  <si>
    <t>Stevens Pond_7.22.2023_10x_TM 0.5 dilution-pp</t>
  </si>
  <si>
    <t>Stevens\ Pond_7.22.2023_10x_TM\ 0.5\ dilution-pp</t>
  </si>
  <si>
    <t>Stevens Pond_8.7.2023_10x_TM 0.5 dilution-pp</t>
  </si>
  <si>
    <t>Stevens\ Pond_8.7.2023_10x_TM\ 0.5\ dilution-pp</t>
  </si>
  <si>
    <t>Stevens Pond_8.19.2023_10x_TM 0.5 dilution -pp</t>
  </si>
  <si>
    <t>Stevens\ Pond_8.19.2023_10x_TM\ 0.5\ dilution\ -pp</t>
  </si>
  <si>
    <t>Stevens Pond_9.5.2023_10x_TM 0.5 dilution-pp</t>
  </si>
  <si>
    <t>Stevens\ Pond_9.5.2023_10x_TM\ 0.5\ dilution-pp</t>
  </si>
  <si>
    <t>Stevens Pond_9.16.2023_10x_TM 0.5 dilution-pp</t>
  </si>
  <si>
    <t>Stevens\ Pond_9.16.2023_10x_TM\ 0.5\ dilution-pp</t>
  </si>
  <si>
    <t>Stevens Pond_10.2.2023_10x_TM 0.5 dilution -pp</t>
  </si>
  <si>
    <t>Stevens\ Pond_10.2.2023_10x_TM\ 0.5\ dilution\ -pp</t>
  </si>
  <si>
    <t>Stevens Pond_10.14.2023_10x_TM 0.5 dilution -pp</t>
  </si>
  <si>
    <t>Stevens\ Pond_10.14.2023_10x_TM\ 0.5\ dilution\ -pp</t>
  </si>
  <si>
    <t>Stevens_4.29.23_10x_TR1 no dilution-pp</t>
  </si>
  <si>
    <t>Stevens_4.29.23_10x_TR1\ no\ dilution-pp</t>
  </si>
  <si>
    <t>Stevens_5.27.23_10x_AI1 no dilution-pp</t>
  </si>
  <si>
    <t>Stevens_5.27.23_10x_AI1\ no\ dilution-pp</t>
  </si>
  <si>
    <t>Stevens_6.3.24_10x_TR1 no dilution-pp</t>
  </si>
  <si>
    <t>Stevens_6.3.24_10x_TR1\ no\ dilution-pp</t>
  </si>
  <si>
    <t>Stevens_6.12.2023_10x_TM no dilution-pp</t>
  </si>
  <si>
    <t>Stevens_6.12.2023_10x_TM\ no\ dilution-pp</t>
  </si>
  <si>
    <t>Stevens_CR5.2.22_10x_TR1-pp</t>
  </si>
  <si>
    <t>Stevens_CR5.21.22_10x_AI1-pp</t>
  </si>
  <si>
    <t>Stevens_CR6.6.22_10x_TR1-pp</t>
  </si>
  <si>
    <t>Stevens_CR6.18.22_10x_TR1-pp</t>
  </si>
  <si>
    <t>Stevens_CR7.5.22_10x_TR1-pp</t>
  </si>
  <si>
    <t>Stevens_CR8.1.22_10x_TR1-1-pp</t>
  </si>
  <si>
    <t>Stevens_CR8.27.22_10X_AI1-pp</t>
  </si>
  <si>
    <t>Stevens_CR9.12.22_10xAI1-pp</t>
  </si>
  <si>
    <t>Stevens_CR10.3.22_10x AI1-pp</t>
  </si>
  <si>
    <t>Stevens_CR10.3.22_10x\ AI1-pp</t>
  </si>
  <si>
    <t>Stevens_CR10.15.22_10x_AI1-pp</t>
  </si>
  <si>
    <t>Stoneville_6.19.21_10x_TR1</t>
  </si>
  <si>
    <t>Stoneville_WCMC_CR10.16.21_TR1</t>
  </si>
  <si>
    <t>Stoneville_WCMC_CR10.16.21_TR1-PP</t>
  </si>
  <si>
    <t>University_6.19.21_10x_TR1</t>
  </si>
  <si>
    <t>University_WCMC_CR10.16.21_TR1</t>
  </si>
  <si>
    <t>University_WCMC_CR10.16.21_TR1-PP</t>
  </si>
  <si>
    <t>UNKNOWN_9.16.2023_10x_TM 0.5 dilution</t>
  </si>
  <si>
    <t>UNKNOWN_9.16.2023_10x_TM\ 0.5\ dilution</t>
  </si>
  <si>
    <t>Washicum_CR7.16.22_10x_AI1-pp</t>
  </si>
  <si>
    <t>Washicum_CR8.27.22_10X_AI1-pp</t>
  </si>
  <si>
    <t>Washicum_CR9.12.22_10xAI1-pp</t>
  </si>
  <si>
    <t>Waushacum_6.12.2023_10x_TM no dilution-pp</t>
  </si>
  <si>
    <t>Waushacum_6.12.2023_10x_TM\ no\ dilution-pp</t>
  </si>
  <si>
    <t>Waushacum_6.24.2023_10x_TM no dilution-pp</t>
  </si>
  <si>
    <t>Waushacum_6.24.2023_10x_TM\ no\ dilution-pp</t>
  </si>
  <si>
    <t>Waushacum_7.10.2023_10x_TM 0.5 dilution-pp</t>
  </si>
  <si>
    <t>Waushacum_7.10.2023_10x_TM\ 0.5\ dilution-pp</t>
  </si>
  <si>
    <t>Waushacum_8.7.2023_10x_TM 0.5 dilution-pp</t>
  </si>
  <si>
    <t>Waushacum_8.7.2023_10x_TM\ 0.5\ dilution-pp</t>
  </si>
  <si>
    <t>Waushacum_9.5.2023_10x_TM 0.5 dilution-pp</t>
  </si>
  <si>
    <t>Waushacum_9.5.2023_10x_TM\ 0.5\ dilution-pp</t>
  </si>
  <si>
    <t>Waushacum_9.16.2023_10x_TM 0.5 dilution-pp</t>
  </si>
  <si>
    <t>Waushacum_9.16.2023_10x_TM\ 0.5\ dilution-pp</t>
  </si>
  <si>
    <t>Waushacum_10.2.2023_10x_TM 0.5 dilution -pp</t>
  </si>
  <si>
    <t>Waushacum_10.2.2023_10x_TM\ 0.5\ dilution\ -pp</t>
  </si>
  <si>
    <t>Waushacum_CR7.5.22_10x_TR1-pp</t>
  </si>
  <si>
    <t>Waushacum_CR9.24.22_10x_TR1-pp</t>
  </si>
  <si>
    <t>Match 9/16 samples?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</si>
</sst>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3" fillId="0" borderId="0" xfId="0" applyFont="1"/>
    <xf numFmtId="49" fontId="0" fillId="0" borderId="0" xfId="0" applyNumberFormat="1"/>
    <xf numFmtId="0" fontId="0" fillId="4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2B51-8A48-8640-A7AD-7B058EAA599B}">
  <dimension ref="A2:M391"/>
  <sheetViews>
    <sheetView workbookViewId="0">
      <selection activeCell="H15" sqref="H15"/>
    </sheetView>
  </sheetViews>
  <sheetFormatPr defaultColWidth="11" defaultRowHeight="15.95"/>
  <cols>
    <col min="1" max="1" width="8.875" bestFit="1" customWidth="1"/>
    <col min="2" max="2" width="19.625" bestFit="1" customWidth="1"/>
    <col min="3" max="3" width="13.875" bestFit="1" customWidth="1"/>
    <col min="4" max="4" width="16.5" bestFit="1" customWidth="1"/>
    <col min="5" max="5" width="14.5" bestFit="1" customWidth="1"/>
    <col min="6" max="6" width="14.625" bestFit="1" customWidth="1"/>
    <col min="7" max="7" width="15.5" bestFit="1" customWidth="1"/>
    <col min="8" max="8" width="13.625" bestFit="1" customWidth="1"/>
    <col min="9" max="9" width="13.875" bestFit="1" customWidth="1"/>
    <col min="10" max="10" width="11.5" bestFit="1" customWidth="1"/>
    <col min="11" max="11" width="19.375" bestFit="1" customWidth="1"/>
    <col min="12" max="12" width="95.375" bestFit="1" customWidth="1"/>
  </cols>
  <sheetData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1">
        <v>45045</v>
      </c>
      <c r="B3" t="s">
        <v>13</v>
      </c>
      <c r="C3" t="s">
        <v>14</v>
      </c>
      <c r="D3">
        <v>2.351</v>
      </c>
      <c r="E3">
        <v>1.280666667</v>
      </c>
      <c r="G3">
        <v>6.1632222219999999</v>
      </c>
      <c r="H3">
        <v>6.783222222</v>
      </c>
      <c r="J3">
        <v>4.41</v>
      </c>
      <c r="K3" t="s">
        <v>15</v>
      </c>
      <c r="L3" t="s">
        <v>15</v>
      </c>
    </row>
    <row r="4" spans="1:13">
      <c r="A4" s="1">
        <v>45045</v>
      </c>
      <c r="B4" t="s">
        <v>16</v>
      </c>
      <c r="C4" t="s">
        <v>17</v>
      </c>
      <c r="D4">
        <v>16.543222220000001</v>
      </c>
      <c r="E4">
        <v>16.94877778</v>
      </c>
      <c r="F4">
        <v>84.017666669999997</v>
      </c>
      <c r="G4">
        <v>97.936999999999998</v>
      </c>
      <c r="H4">
        <v>97.065888889999997</v>
      </c>
      <c r="I4">
        <v>139.77366670000001</v>
      </c>
      <c r="J4">
        <v>498.35</v>
      </c>
      <c r="K4" t="s">
        <v>18</v>
      </c>
      <c r="L4" t="s">
        <v>19</v>
      </c>
    </row>
    <row r="5" spans="1:13">
      <c r="A5" s="1">
        <v>45045</v>
      </c>
      <c r="B5" t="s">
        <v>20</v>
      </c>
      <c r="C5" t="s">
        <v>21</v>
      </c>
      <c r="J5" t="s">
        <v>22</v>
      </c>
      <c r="K5" t="s">
        <v>22</v>
      </c>
      <c r="L5" t="s">
        <v>22</v>
      </c>
    </row>
    <row r="6" spans="1:13">
      <c r="A6" s="1">
        <v>45045</v>
      </c>
      <c r="B6" t="s">
        <v>23</v>
      </c>
      <c r="C6" t="s">
        <v>24</v>
      </c>
      <c r="D6">
        <v>4.8445555560000004</v>
      </c>
      <c r="E6">
        <v>2.989222222</v>
      </c>
      <c r="G6">
        <v>17.657</v>
      </c>
      <c r="H6">
        <v>12.18266667</v>
      </c>
      <c r="J6">
        <v>68.97</v>
      </c>
      <c r="K6" t="s">
        <v>15</v>
      </c>
      <c r="L6" t="s">
        <v>15</v>
      </c>
    </row>
    <row r="7" spans="1:13">
      <c r="A7" s="1">
        <v>45045</v>
      </c>
      <c r="B7" t="s">
        <v>25</v>
      </c>
      <c r="C7" t="s">
        <v>26</v>
      </c>
      <c r="D7">
        <v>-0.115555556</v>
      </c>
      <c r="E7">
        <v>3.5223333330000002</v>
      </c>
      <c r="F7">
        <v>-2.6480000000000001</v>
      </c>
      <c r="G7">
        <v>15.419111109999999</v>
      </c>
      <c r="H7">
        <v>14.596888890000001</v>
      </c>
      <c r="I7">
        <v>14.087999999999999</v>
      </c>
      <c r="J7">
        <v>38.53</v>
      </c>
      <c r="K7" t="s">
        <v>15</v>
      </c>
      <c r="L7" t="s">
        <v>15</v>
      </c>
    </row>
    <row r="8" spans="1:13">
      <c r="A8" s="1">
        <v>45045</v>
      </c>
      <c r="B8" t="s">
        <v>27</v>
      </c>
      <c r="C8" t="s">
        <v>28</v>
      </c>
      <c r="D8">
        <v>19.541</v>
      </c>
      <c r="E8">
        <v>12.45655556</v>
      </c>
      <c r="F8">
        <v>18.734333329999998</v>
      </c>
      <c r="G8">
        <v>26.88288889</v>
      </c>
      <c r="H8">
        <v>20.193999999999999</v>
      </c>
      <c r="I8">
        <v>48.777333329999998</v>
      </c>
      <c r="J8">
        <v>568.21</v>
      </c>
      <c r="K8" t="s">
        <v>15</v>
      </c>
      <c r="L8" t="s">
        <v>15</v>
      </c>
    </row>
    <row r="9" spans="1:13">
      <c r="A9" s="1">
        <v>45045</v>
      </c>
      <c r="B9" t="s">
        <v>29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22</v>
      </c>
      <c r="L9">
        <v>0</v>
      </c>
    </row>
    <row r="10" spans="1:13">
      <c r="A10" s="1">
        <v>45045</v>
      </c>
      <c r="B10" t="s">
        <v>31</v>
      </c>
      <c r="C10" t="s">
        <v>32</v>
      </c>
      <c r="J10" t="s">
        <v>22</v>
      </c>
      <c r="K10" t="s">
        <v>22</v>
      </c>
      <c r="L10" t="s">
        <v>22</v>
      </c>
    </row>
    <row r="11" spans="1:13">
      <c r="A11" s="1">
        <v>45045</v>
      </c>
      <c r="B11" t="s">
        <v>33</v>
      </c>
      <c r="C11" t="s">
        <v>34</v>
      </c>
      <c r="J11" t="s">
        <v>22</v>
      </c>
      <c r="K11" t="s">
        <v>22</v>
      </c>
      <c r="L11" t="s">
        <v>22</v>
      </c>
    </row>
    <row r="12" spans="1:13">
      <c r="A12" s="1">
        <v>45045</v>
      </c>
      <c r="B12" t="s">
        <v>35</v>
      </c>
      <c r="C12" t="s">
        <v>36</v>
      </c>
      <c r="J12" t="s">
        <v>22</v>
      </c>
      <c r="K12" t="s">
        <v>22</v>
      </c>
      <c r="L12" t="s">
        <v>22</v>
      </c>
    </row>
    <row r="13" spans="1:13">
      <c r="A13" s="1">
        <v>45045</v>
      </c>
      <c r="B13" t="s">
        <v>37</v>
      </c>
      <c r="C13" t="s">
        <v>38</v>
      </c>
      <c r="J13" t="s">
        <v>22</v>
      </c>
      <c r="K13" t="s">
        <v>22</v>
      </c>
      <c r="L13" t="s">
        <v>22</v>
      </c>
    </row>
    <row r="14" spans="1:13">
      <c r="A14" s="1">
        <v>45045</v>
      </c>
      <c r="B14" t="s">
        <v>39</v>
      </c>
      <c r="C14" t="s">
        <v>40</v>
      </c>
      <c r="D14">
        <v>0.50477777800000001</v>
      </c>
      <c r="E14">
        <v>2.2221111109999998</v>
      </c>
      <c r="F14">
        <v>3.6440000000000001</v>
      </c>
      <c r="G14">
        <v>3.7483333330000002</v>
      </c>
      <c r="H14">
        <v>4.4795555560000002</v>
      </c>
      <c r="I14">
        <v>5.2653333330000001</v>
      </c>
      <c r="J14">
        <v>12.94</v>
      </c>
      <c r="K14" t="s">
        <v>15</v>
      </c>
      <c r="L14" t="s">
        <v>15</v>
      </c>
    </row>
    <row r="15" spans="1:13">
      <c r="A15" s="1">
        <v>45045</v>
      </c>
      <c r="B15" t="s">
        <v>41</v>
      </c>
      <c r="C15" t="s">
        <v>42</v>
      </c>
      <c r="J15" t="s">
        <v>22</v>
      </c>
      <c r="K15" t="s">
        <v>22</v>
      </c>
      <c r="L15" t="s">
        <v>22</v>
      </c>
    </row>
    <row r="16" spans="1:13">
      <c r="A16" s="1">
        <v>45045</v>
      </c>
      <c r="B16" t="s">
        <v>43</v>
      </c>
      <c r="C16" t="s">
        <v>44</v>
      </c>
      <c r="D16">
        <v>-0.14499999999999999</v>
      </c>
      <c r="E16">
        <v>0.13600000000000001</v>
      </c>
      <c r="G16">
        <v>11.33977778</v>
      </c>
      <c r="H16">
        <v>9.720444444</v>
      </c>
      <c r="J16">
        <v>25.03</v>
      </c>
      <c r="K16" t="s">
        <v>15</v>
      </c>
      <c r="L16" t="s">
        <v>15</v>
      </c>
    </row>
    <row r="17" spans="1:12">
      <c r="A17" s="1">
        <v>45045</v>
      </c>
      <c r="B17" t="s">
        <v>45</v>
      </c>
      <c r="C17" t="s">
        <v>46</v>
      </c>
      <c r="D17">
        <v>4.0430000000000001</v>
      </c>
      <c r="E17">
        <v>3.4020000000000001</v>
      </c>
      <c r="G17">
        <v>16.356999999999999</v>
      </c>
      <c r="H17">
        <v>14.124777780000001</v>
      </c>
      <c r="J17">
        <v>213.1</v>
      </c>
      <c r="K17" t="s">
        <v>18</v>
      </c>
      <c r="L17" t="s">
        <v>47</v>
      </c>
    </row>
    <row r="18" spans="1:12">
      <c r="A18" s="1">
        <v>45045</v>
      </c>
      <c r="B18" t="s">
        <v>48</v>
      </c>
      <c r="C18" t="s">
        <v>49</v>
      </c>
      <c r="D18">
        <v>5.1678888890000003</v>
      </c>
      <c r="E18">
        <v>3.3727777780000001</v>
      </c>
      <c r="F18">
        <v>5.6776666669999996</v>
      </c>
      <c r="G18">
        <v>7.1325555559999998</v>
      </c>
      <c r="H18">
        <v>5.5807777779999999</v>
      </c>
      <c r="I18">
        <v>13.914666670000001</v>
      </c>
      <c r="J18">
        <v>24.96</v>
      </c>
      <c r="K18" t="s">
        <v>15</v>
      </c>
      <c r="L18" t="s">
        <v>15</v>
      </c>
    </row>
    <row r="19" spans="1:12">
      <c r="A19" s="1">
        <v>45045</v>
      </c>
      <c r="B19" t="s">
        <v>50</v>
      </c>
      <c r="C19" t="s">
        <v>51</v>
      </c>
      <c r="D19">
        <v>23.03355556</v>
      </c>
      <c r="E19">
        <v>3.6349999999999998</v>
      </c>
      <c r="G19">
        <v>109.57655560000001</v>
      </c>
      <c r="H19">
        <v>11.81322222</v>
      </c>
      <c r="J19">
        <v>157.53</v>
      </c>
      <c r="K19" t="s">
        <v>18</v>
      </c>
      <c r="L19" t="s">
        <v>52</v>
      </c>
    </row>
    <row r="20" spans="1:12">
      <c r="A20" s="1">
        <v>45045</v>
      </c>
      <c r="B20" t="s">
        <v>53</v>
      </c>
      <c r="C20" t="s">
        <v>54</v>
      </c>
      <c r="D20">
        <v>7.2714444440000001</v>
      </c>
      <c r="E20">
        <v>7.4481111110000002</v>
      </c>
      <c r="G20">
        <v>10.38466667</v>
      </c>
      <c r="H20">
        <v>12.61933333</v>
      </c>
      <c r="J20">
        <v>12.05</v>
      </c>
      <c r="K20" t="s">
        <v>18</v>
      </c>
      <c r="L20" t="s">
        <v>55</v>
      </c>
    </row>
    <row r="21" spans="1:12">
      <c r="A21" s="1">
        <v>45045</v>
      </c>
      <c r="B21" t="s">
        <v>56</v>
      </c>
      <c r="C21" t="s">
        <v>57</v>
      </c>
      <c r="D21">
        <v>4.6396666670000002</v>
      </c>
      <c r="E21">
        <v>3.1977777779999998</v>
      </c>
      <c r="F21">
        <v>81.184333330000001</v>
      </c>
      <c r="G21">
        <v>13.37688889</v>
      </c>
      <c r="H21">
        <v>11.407999999999999</v>
      </c>
      <c r="I21">
        <v>26.341333330000001</v>
      </c>
      <c r="J21">
        <v>28.99</v>
      </c>
      <c r="K21" t="s">
        <v>18</v>
      </c>
      <c r="L21" t="s">
        <v>58</v>
      </c>
    </row>
    <row r="22" spans="1:12">
      <c r="A22" s="1">
        <v>45045</v>
      </c>
      <c r="B22" t="s">
        <v>59</v>
      </c>
      <c r="C22" t="s">
        <v>60</v>
      </c>
      <c r="D22">
        <v>1.2874444439999999</v>
      </c>
      <c r="E22">
        <v>1.0801111109999999</v>
      </c>
      <c r="G22">
        <v>12.11744444</v>
      </c>
      <c r="H22">
        <v>8.7236666669999998</v>
      </c>
      <c r="J22">
        <v>20.95</v>
      </c>
      <c r="K22" t="s">
        <v>15</v>
      </c>
      <c r="L22" t="s">
        <v>15</v>
      </c>
    </row>
    <row r="23" spans="1:12">
      <c r="A23" s="1">
        <v>45045</v>
      </c>
      <c r="B23" t="s">
        <v>61</v>
      </c>
      <c r="C23" t="s">
        <v>62</v>
      </c>
      <c r="D23">
        <v>13.050333330000001</v>
      </c>
      <c r="E23">
        <v>6.7688888890000003</v>
      </c>
      <c r="G23">
        <v>21.133333329999999</v>
      </c>
      <c r="H23">
        <v>9.3672222220000005</v>
      </c>
      <c r="J23">
        <v>126.95</v>
      </c>
      <c r="K23" t="s">
        <v>15</v>
      </c>
      <c r="L23" t="s">
        <v>15</v>
      </c>
    </row>
    <row r="24" spans="1:12">
      <c r="A24" s="1">
        <v>45045</v>
      </c>
      <c r="B24" t="s">
        <v>63</v>
      </c>
      <c r="C24" t="s">
        <v>64</v>
      </c>
      <c r="D24">
        <v>2.9737777780000001</v>
      </c>
      <c r="E24">
        <v>2.3368888889999999</v>
      </c>
      <c r="G24">
        <v>36.066888890000001</v>
      </c>
      <c r="H24">
        <v>36.086888889999997</v>
      </c>
      <c r="J24">
        <v>226.86</v>
      </c>
      <c r="K24" t="s">
        <v>18</v>
      </c>
      <c r="L24" t="s">
        <v>65</v>
      </c>
    </row>
    <row r="25" spans="1:12">
      <c r="A25" s="1">
        <v>45045</v>
      </c>
      <c r="B25" t="s">
        <v>66</v>
      </c>
      <c r="C25" t="s">
        <v>67</v>
      </c>
      <c r="D25">
        <v>0.38366666700000002</v>
      </c>
      <c r="E25">
        <v>0.258222222</v>
      </c>
      <c r="F25">
        <v>48.568333330000002</v>
      </c>
      <c r="G25">
        <v>8.5146666670000002</v>
      </c>
      <c r="H25">
        <v>8.6663333330000007</v>
      </c>
      <c r="I25">
        <v>40.779666669999997</v>
      </c>
      <c r="J25">
        <v>48.33</v>
      </c>
      <c r="K25" t="s">
        <v>15</v>
      </c>
      <c r="L25" t="s">
        <v>15</v>
      </c>
    </row>
    <row r="26" spans="1:12">
      <c r="A26" s="1">
        <v>45045</v>
      </c>
      <c r="B26" t="s">
        <v>68</v>
      </c>
      <c r="C26" t="s">
        <v>69</v>
      </c>
      <c r="D26">
        <v>-1.504</v>
      </c>
      <c r="E26">
        <v>-4.2555556000000001E-2</v>
      </c>
      <c r="G26">
        <v>3.6343333329999998</v>
      </c>
      <c r="H26">
        <v>3.888555556</v>
      </c>
      <c r="J26">
        <v>26.74</v>
      </c>
      <c r="K26" t="s">
        <v>15</v>
      </c>
      <c r="L26" t="s">
        <v>15</v>
      </c>
    </row>
    <row r="27" spans="1:12">
      <c r="A27" s="1">
        <v>45045</v>
      </c>
      <c r="B27" t="s">
        <v>70</v>
      </c>
      <c r="C27" t="s">
        <v>71</v>
      </c>
      <c r="D27">
        <v>9.4760000000000009</v>
      </c>
      <c r="E27">
        <v>3.7788888890000001</v>
      </c>
      <c r="F27">
        <v>233.01300000000001</v>
      </c>
      <c r="G27">
        <v>12.85766667</v>
      </c>
      <c r="H27">
        <v>8.9465555559999999</v>
      </c>
      <c r="I27">
        <v>136.79433330000001</v>
      </c>
      <c r="J27">
        <v>75.8</v>
      </c>
      <c r="K27" t="s">
        <v>15</v>
      </c>
      <c r="L27" t="s">
        <v>15</v>
      </c>
    </row>
    <row r="28" spans="1:12">
      <c r="A28" s="1">
        <v>45045</v>
      </c>
      <c r="B28" t="s">
        <v>72</v>
      </c>
      <c r="C28" t="s">
        <v>73</v>
      </c>
      <c r="D28">
        <v>0.35877777799999999</v>
      </c>
      <c r="E28">
        <v>-1.349888889</v>
      </c>
      <c r="G28">
        <v>7.6188888889999999</v>
      </c>
      <c r="H28">
        <v>5.9623333330000001</v>
      </c>
      <c r="J28">
        <v>57.23</v>
      </c>
      <c r="K28" t="s">
        <v>18</v>
      </c>
      <c r="L28" t="s">
        <v>52</v>
      </c>
    </row>
    <row r="29" spans="1:12">
      <c r="A29" s="1">
        <v>45045</v>
      </c>
      <c r="B29" t="s">
        <v>74</v>
      </c>
      <c r="C29" t="s">
        <v>75</v>
      </c>
      <c r="D29">
        <v>4.6283333329999996</v>
      </c>
      <c r="E29">
        <v>7.218</v>
      </c>
      <c r="F29">
        <v>6.0253333329999998</v>
      </c>
      <c r="G29">
        <v>21.621888890000001</v>
      </c>
      <c r="H29">
        <v>20.902999999999999</v>
      </c>
      <c r="I29">
        <v>18.152999999999999</v>
      </c>
      <c r="J29">
        <v>191.33</v>
      </c>
      <c r="K29" t="s">
        <v>18</v>
      </c>
      <c r="L29" t="s">
        <v>76</v>
      </c>
    </row>
    <row r="30" spans="1:12">
      <c r="A30" s="1">
        <v>45045</v>
      </c>
      <c r="B30" t="s">
        <v>77</v>
      </c>
      <c r="C30" t="s">
        <v>78</v>
      </c>
      <c r="J30" t="s">
        <v>22</v>
      </c>
      <c r="K30" t="s">
        <v>22</v>
      </c>
      <c r="L30" t="s">
        <v>22</v>
      </c>
    </row>
    <row r="31" spans="1:12">
      <c r="A31" s="1">
        <v>45045</v>
      </c>
      <c r="B31" t="s">
        <v>79</v>
      </c>
      <c r="C31" t="s">
        <v>80</v>
      </c>
      <c r="D31">
        <v>-0.41922222199999998</v>
      </c>
      <c r="E31">
        <v>-1.969555556</v>
      </c>
      <c r="G31">
        <v>4.473555556</v>
      </c>
      <c r="H31">
        <v>3.2982222220000001</v>
      </c>
      <c r="J31">
        <v>30.12</v>
      </c>
      <c r="K31" t="s">
        <v>15</v>
      </c>
      <c r="L31" t="s">
        <v>15</v>
      </c>
    </row>
    <row r="32" spans="1:12">
      <c r="A32" s="1">
        <v>45045</v>
      </c>
      <c r="B32" t="s">
        <v>81</v>
      </c>
      <c r="C32" t="s">
        <v>82</v>
      </c>
      <c r="J32" t="s">
        <v>22</v>
      </c>
      <c r="K32" t="s">
        <v>22</v>
      </c>
      <c r="L32" t="s">
        <v>22</v>
      </c>
    </row>
    <row r="33" spans="1:12">
      <c r="A33" s="1">
        <v>45061</v>
      </c>
      <c r="B33" t="s">
        <v>13</v>
      </c>
      <c r="C33" t="s">
        <v>14</v>
      </c>
      <c r="D33">
        <v>1.0301111110000001</v>
      </c>
      <c r="E33">
        <v>3.3594444440000002</v>
      </c>
      <c r="G33">
        <v>2.4355555560000002</v>
      </c>
      <c r="H33">
        <v>2.5507777780000001</v>
      </c>
      <c r="J33">
        <v>57</v>
      </c>
      <c r="K33" t="s">
        <v>15</v>
      </c>
      <c r="L33" t="s">
        <v>15</v>
      </c>
    </row>
    <row r="34" spans="1:12">
      <c r="A34" s="1">
        <v>45061</v>
      </c>
      <c r="B34" t="s">
        <v>16</v>
      </c>
      <c r="C34" t="s">
        <v>17</v>
      </c>
      <c r="D34">
        <v>48.904444439999999</v>
      </c>
      <c r="E34">
        <v>32.347777780000001</v>
      </c>
      <c r="G34">
        <v>204.06388889999999</v>
      </c>
      <c r="H34">
        <v>170.49722220000001</v>
      </c>
      <c r="J34">
        <v>561</v>
      </c>
      <c r="K34" t="s">
        <v>15</v>
      </c>
      <c r="L34" t="s">
        <v>15</v>
      </c>
    </row>
    <row r="35" spans="1:12">
      <c r="A35" s="1">
        <v>45061</v>
      </c>
      <c r="B35" t="s">
        <v>20</v>
      </c>
      <c r="C35" t="s">
        <v>21</v>
      </c>
      <c r="J35" t="s">
        <v>22</v>
      </c>
      <c r="K35" t="s">
        <v>22</v>
      </c>
      <c r="L35" t="s">
        <v>22</v>
      </c>
    </row>
    <row r="36" spans="1:12">
      <c r="A36" s="1">
        <v>45061</v>
      </c>
      <c r="B36" t="s">
        <v>23</v>
      </c>
      <c r="C36" t="s">
        <v>24</v>
      </c>
      <c r="D36">
        <v>1.4857777780000001</v>
      </c>
      <c r="E36">
        <v>-0.28333333300000002</v>
      </c>
      <c r="G36">
        <v>8.8126666670000002</v>
      </c>
      <c r="H36">
        <v>7.665</v>
      </c>
      <c r="J36">
        <v>105</v>
      </c>
      <c r="K36" t="s">
        <v>18</v>
      </c>
      <c r="L36" t="s">
        <v>65</v>
      </c>
    </row>
    <row r="37" spans="1:12">
      <c r="A37" s="1">
        <v>45061</v>
      </c>
      <c r="B37" t="s">
        <v>25</v>
      </c>
      <c r="C37" t="s">
        <v>26</v>
      </c>
      <c r="D37">
        <v>-0.97066666700000004</v>
      </c>
      <c r="E37">
        <v>0.26377777800000002</v>
      </c>
      <c r="G37">
        <v>12.33033333</v>
      </c>
      <c r="H37">
        <v>12.855888889999999</v>
      </c>
      <c r="J37">
        <v>42</v>
      </c>
      <c r="K37" t="s">
        <v>15</v>
      </c>
      <c r="L37" t="s">
        <v>15</v>
      </c>
    </row>
    <row r="38" spans="1:12">
      <c r="A38" s="1">
        <v>45061</v>
      </c>
      <c r="B38" t="s">
        <v>27</v>
      </c>
      <c r="C38" t="s">
        <v>28</v>
      </c>
      <c r="D38">
        <v>7.9986666670000002</v>
      </c>
      <c r="E38">
        <v>13.325333329999999</v>
      </c>
      <c r="G38">
        <v>26.072333329999999</v>
      </c>
      <c r="H38">
        <v>26.945666670000001</v>
      </c>
      <c r="J38">
        <v>652</v>
      </c>
      <c r="K38" t="s">
        <v>15</v>
      </c>
      <c r="L38" t="s">
        <v>15</v>
      </c>
    </row>
    <row r="39" spans="1:12">
      <c r="A39" s="1">
        <v>45061</v>
      </c>
      <c r="B39" t="s">
        <v>29</v>
      </c>
      <c r="C39" t="s">
        <v>30</v>
      </c>
      <c r="D39">
        <v>1.915777778</v>
      </c>
      <c r="E39">
        <v>3.2421111109999998</v>
      </c>
      <c r="G39">
        <v>15.705888890000001</v>
      </c>
      <c r="H39">
        <v>23.688111110000001</v>
      </c>
      <c r="J39">
        <v>383</v>
      </c>
      <c r="K39" t="s">
        <v>18</v>
      </c>
      <c r="L39" t="s">
        <v>83</v>
      </c>
    </row>
    <row r="40" spans="1:12">
      <c r="A40" s="1">
        <v>45061</v>
      </c>
      <c r="B40" t="s">
        <v>31</v>
      </c>
      <c r="C40" t="s">
        <v>32</v>
      </c>
      <c r="J40" t="s">
        <v>22</v>
      </c>
      <c r="K40" t="s">
        <v>22</v>
      </c>
      <c r="L40" t="s">
        <v>22</v>
      </c>
    </row>
    <row r="41" spans="1:12">
      <c r="A41" s="1">
        <v>45061</v>
      </c>
      <c r="B41" t="s">
        <v>33</v>
      </c>
      <c r="C41" t="s">
        <v>34</v>
      </c>
      <c r="D41">
        <v>-2.619111111</v>
      </c>
      <c r="E41">
        <v>9.0666667000000006E-2</v>
      </c>
      <c r="G41">
        <v>4.9136666670000002</v>
      </c>
      <c r="H41">
        <v>4.4601111109999998</v>
      </c>
      <c r="J41">
        <v>44</v>
      </c>
      <c r="K41" t="s">
        <v>15</v>
      </c>
      <c r="L41" t="s">
        <v>15</v>
      </c>
    </row>
    <row r="42" spans="1:12">
      <c r="A42" s="1">
        <v>45061</v>
      </c>
      <c r="B42" t="s">
        <v>35</v>
      </c>
      <c r="C42" t="s">
        <v>36</v>
      </c>
      <c r="D42">
        <v>31.521222219999999</v>
      </c>
      <c r="E42">
        <v>11.34788889</v>
      </c>
      <c r="G42">
        <v>123.7412222</v>
      </c>
      <c r="H42">
        <v>40.929000000000002</v>
      </c>
      <c r="J42">
        <v>259</v>
      </c>
      <c r="K42" t="s">
        <v>15</v>
      </c>
      <c r="L42" t="s">
        <v>15</v>
      </c>
    </row>
    <row r="43" spans="1:12">
      <c r="A43" s="1">
        <v>45061</v>
      </c>
      <c r="B43" t="s">
        <v>37</v>
      </c>
      <c r="C43" t="s">
        <v>38</v>
      </c>
      <c r="D43">
        <v>99.654666669999997</v>
      </c>
      <c r="E43">
        <v>73.066888890000001</v>
      </c>
      <c r="G43">
        <v>261.12766670000002</v>
      </c>
      <c r="H43">
        <v>246.88322220000001</v>
      </c>
      <c r="J43">
        <v>1999</v>
      </c>
      <c r="K43" t="s">
        <v>84</v>
      </c>
      <c r="L43" t="s">
        <v>85</v>
      </c>
    </row>
    <row r="44" spans="1:12">
      <c r="A44" s="1">
        <v>45061</v>
      </c>
      <c r="B44" t="s">
        <v>39</v>
      </c>
      <c r="C44" t="s">
        <v>40</v>
      </c>
      <c r="J44" t="s">
        <v>22</v>
      </c>
      <c r="K44" t="s">
        <v>22</v>
      </c>
      <c r="L44" t="s">
        <v>22</v>
      </c>
    </row>
    <row r="45" spans="1:12">
      <c r="A45" s="1">
        <v>45061</v>
      </c>
      <c r="B45" t="s">
        <v>41</v>
      </c>
      <c r="C45" t="s">
        <v>42</v>
      </c>
      <c r="J45" t="s">
        <v>22</v>
      </c>
      <c r="K45" t="s">
        <v>22</v>
      </c>
      <c r="L45" t="s">
        <v>22</v>
      </c>
    </row>
    <row r="46" spans="1:12">
      <c r="A46" s="1">
        <v>45061</v>
      </c>
      <c r="B46" t="s">
        <v>43</v>
      </c>
      <c r="C46" t="s">
        <v>44</v>
      </c>
      <c r="D46">
        <v>8.6475555560000004</v>
      </c>
      <c r="E46">
        <v>4.2257777780000003</v>
      </c>
      <c r="G46">
        <v>14.82922222</v>
      </c>
      <c r="H46">
        <v>11.667999999999999</v>
      </c>
      <c r="J46">
        <v>39</v>
      </c>
      <c r="K46" t="s">
        <v>15</v>
      </c>
      <c r="L46" t="s">
        <v>15</v>
      </c>
    </row>
    <row r="47" spans="1:12">
      <c r="A47" s="1">
        <v>45061</v>
      </c>
      <c r="B47" t="s">
        <v>45</v>
      </c>
      <c r="C47" t="s">
        <v>46</v>
      </c>
      <c r="D47">
        <v>12.70444444</v>
      </c>
      <c r="E47">
        <v>11.64666667</v>
      </c>
      <c r="G47">
        <v>31.248777780000001</v>
      </c>
      <c r="H47">
        <v>28.439888889999999</v>
      </c>
      <c r="J47">
        <v>1080</v>
      </c>
      <c r="K47" t="s">
        <v>18</v>
      </c>
      <c r="L47" t="s">
        <v>58</v>
      </c>
    </row>
    <row r="48" spans="1:12">
      <c r="A48" s="1">
        <v>45061</v>
      </c>
      <c r="B48" t="s">
        <v>48</v>
      </c>
      <c r="C48" t="s">
        <v>49</v>
      </c>
      <c r="D48">
        <v>4.2881111110000001</v>
      </c>
      <c r="E48">
        <v>1.467222222</v>
      </c>
      <c r="G48">
        <v>6.3781111109999999</v>
      </c>
      <c r="H48">
        <v>6.3083333330000002</v>
      </c>
      <c r="J48">
        <v>42</v>
      </c>
      <c r="K48" t="s">
        <v>15</v>
      </c>
      <c r="L48" t="s">
        <v>15</v>
      </c>
    </row>
    <row r="49" spans="1:12">
      <c r="A49" s="1">
        <v>45061</v>
      </c>
      <c r="B49" t="s">
        <v>50</v>
      </c>
      <c r="C49" t="s">
        <v>51</v>
      </c>
      <c r="D49">
        <v>4.6743333329999999</v>
      </c>
      <c r="E49">
        <v>1.214</v>
      </c>
      <c r="G49">
        <v>35.811333329999997</v>
      </c>
      <c r="H49">
        <v>8.7394999999999996</v>
      </c>
      <c r="J49">
        <v>74</v>
      </c>
      <c r="K49" t="s">
        <v>15</v>
      </c>
      <c r="L49" t="s">
        <v>15</v>
      </c>
    </row>
    <row r="50" spans="1:12">
      <c r="A50" s="1">
        <v>45061</v>
      </c>
      <c r="B50" t="s">
        <v>53</v>
      </c>
      <c r="C50" t="s">
        <v>54</v>
      </c>
      <c r="D50">
        <v>-0.90511111099999997</v>
      </c>
      <c r="E50">
        <v>-1.821888889</v>
      </c>
      <c r="G50">
        <v>6.3373333330000001</v>
      </c>
      <c r="H50">
        <v>5.3997777779999998</v>
      </c>
      <c r="J50">
        <v>34</v>
      </c>
      <c r="K50" t="s">
        <v>15</v>
      </c>
      <c r="L50" t="s">
        <v>15</v>
      </c>
    </row>
    <row r="51" spans="1:12">
      <c r="A51" s="1">
        <v>45061</v>
      </c>
      <c r="B51" t="s">
        <v>56</v>
      </c>
      <c r="C51" t="s">
        <v>57</v>
      </c>
      <c r="D51">
        <v>9.4131111109999992</v>
      </c>
      <c r="E51">
        <v>1.1997777780000001</v>
      </c>
      <c r="G51">
        <v>9.1974444440000003</v>
      </c>
      <c r="H51">
        <v>6.9669999999999996</v>
      </c>
      <c r="J51">
        <v>59</v>
      </c>
      <c r="K51" t="s">
        <v>84</v>
      </c>
      <c r="L51" t="s">
        <v>65</v>
      </c>
    </row>
    <row r="52" spans="1:12">
      <c r="A52" s="1">
        <v>45061</v>
      </c>
      <c r="B52" t="s">
        <v>59</v>
      </c>
      <c r="C52" t="s">
        <v>60</v>
      </c>
      <c r="D52">
        <v>1.3376666669999999</v>
      </c>
      <c r="E52">
        <v>1.4610000000000001</v>
      </c>
      <c r="G52">
        <v>16.457666669999998</v>
      </c>
      <c r="H52">
        <v>6.4091111109999996</v>
      </c>
      <c r="J52">
        <v>124</v>
      </c>
      <c r="K52" t="s">
        <v>18</v>
      </c>
      <c r="L52" t="s">
        <v>52</v>
      </c>
    </row>
    <row r="53" spans="1:12">
      <c r="A53" s="1">
        <v>45061</v>
      </c>
      <c r="B53" t="s">
        <v>61</v>
      </c>
      <c r="C53" t="s">
        <v>62</v>
      </c>
      <c r="D53">
        <v>4.0570000000000004</v>
      </c>
      <c r="E53">
        <v>-0.47188888899999998</v>
      </c>
      <c r="G53">
        <v>9.756777778</v>
      </c>
      <c r="H53">
        <v>5.5177777780000001</v>
      </c>
      <c r="J53">
        <v>22</v>
      </c>
      <c r="K53" t="s">
        <v>15</v>
      </c>
      <c r="L53" t="s">
        <v>15</v>
      </c>
    </row>
    <row r="54" spans="1:12">
      <c r="A54" s="1">
        <v>45061</v>
      </c>
      <c r="B54" t="s">
        <v>63</v>
      </c>
      <c r="C54" t="s">
        <v>64</v>
      </c>
      <c r="D54">
        <v>5.5229999999999997</v>
      </c>
      <c r="E54">
        <v>8.0163333330000004</v>
      </c>
      <c r="G54">
        <v>10.672888889999999</v>
      </c>
      <c r="H54">
        <v>11.654</v>
      </c>
      <c r="J54">
        <v>139</v>
      </c>
      <c r="K54" t="s">
        <v>18</v>
      </c>
      <c r="L54" t="s">
        <v>52</v>
      </c>
    </row>
    <row r="55" spans="1:12">
      <c r="A55" s="1">
        <v>45061</v>
      </c>
      <c r="B55" t="s">
        <v>66</v>
      </c>
      <c r="C55" t="s">
        <v>67</v>
      </c>
      <c r="D55">
        <v>4.4951111109999999</v>
      </c>
      <c r="E55">
        <v>6.2554444440000001</v>
      </c>
      <c r="G55">
        <v>6.6442222219999998</v>
      </c>
      <c r="H55">
        <v>6.9872222219999998</v>
      </c>
      <c r="J55">
        <v>52</v>
      </c>
      <c r="K55" t="s">
        <v>84</v>
      </c>
      <c r="L55" t="s">
        <v>65</v>
      </c>
    </row>
    <row r="56" spans="1:12">
      <c r="A56" s="1">
        <v>45061</v>
      </c>
      <c r="B56" t="s">
        <v>68</v>
      </c>
      <c r="C56" t="s">
        <v>69</v>
      </c>
      <c r="D56">
        <v>8.597888889</v>
      </c>
      <c r="E56">
        <v>5.5775555560000001</v>
      </c>
      <c r="G56">
        <v>16.329222219999998</v>
      </c>
      <c r="H56">
        <v>12.18922222</v>
      </c>
      <c r="J56">
        <v>64</v>
      </c>
      <c r="K56" t="s">
        <v>15</v>
      </c>
      <c r="L56" t="s">
        <v>15</v>
      </c>
    </row>
    <row r="57" spans="1:12">
      <c r="A57" s="1">
        <v>45061</v>
      </c>
      <c r="B57" t="s">
        <v>70</v>
      </c>
      <c r="C57" t="s">
        <v>71</v>
      </c>
      <c r="D57">
        <v>8.4862222220000003</v>
      </c>
      <c r="E57">
        <v>2.7143333329999999</v>
      </c>
      <c r="G57">
        <v>9.0124444439999998</v>
      </c>
      <c r="H57">
        <v>7.0890000000000004</v>
      </c>
      <c r="J57">
        <v>361</v>
      </c>
      <c r="K57" t="s">
        <v>15</v>
      </c>
      <c r="L57" t="s">
        <v>15</v>
      </c>
    </row>
    <row r="58" spans="1:12">
      <c r="A58" s="1">
        <v>45061</v>
      </c>
      <c r="B58" t="s">
        <v>72</v>
      </c>
      <c r="C58" t="s">
        <v>73</v>
      </c>
      <c r="D58">
        <v>8.3883333330000003</v>
      </c>
      <c r="E58">
        <v>1.208111111</v>
      </c>
      <c r="G58">
        <v>12.610222220000001</v>
      </c>
      <c r="H58">
        <v>6.0736666670000004</v>
      </c>
      <c r="J58">
        <v>43</v>
      </c>
      <c r="K58" t="s">
        <v>15</v>
      </c>
      <c r="L58" t="s">
        <v>15</v>
      </c>
    </row>
    <row r="59" spans="1:12">
      <c r="A59" s="1">
        <v>45061</v>
      </c>
      <c r="B59" t="s">
        <v>74</v>
      </c>
      <c r="C59" t="s">
        <v>75</v>
      </c>
      <c r="D59">
        <v>28.369666670000001</v>
      </c>
      <c r="E59">
        <v>11.34411111</v>
      </c>
      <c r="G59">
        <v>112.9742222</v>
      </c>
      <c r="H59">
        <v>28.94088889</v>
      </c>
      <c r="J59">
        <v>161</v>
      </c>
      <c r="K59" t="s">
        <v>18</v>
      </c>
      <c r="L59" t="s">
        <v>58</v>
      </c>
    </row>
    <row r="60" spans="1:12">
      <c r="A60" s="1">
        <v>45061</v>
      </c>
      <c r="B60" t="s">
        <v>77</v>
      </c>
      <c r="C60" t="s">
        <v>78</v>
      </c>
      <c r="J60" t="s">
        <v>22</v>
      </c>
      <c r="K60" t="s">
        <v>22</v>
      </c>
      <c r="L60" t="s">
        <v>22</v>
      </c>
    </row>
    <row r="61" spans="1:12">
      <c r="A61" s="1">
        <v>45061</v>
      </c>
      <c r="B61" t="s">
        <v>79</v>
      </c>
      <c r="C61" t="s">
        <v>80</v>
      </c>
      <c r="D61">
        <v>-0.86644444399999998</v>
      </c>
      <c r="E61">
        <v>-1.4147777779999999</v>
      </c>
      <c r="G61">
        <v>5.3747777780000003</v>
      </c>
      <c r="H61">
        <v>4.3853333330000002</v>
      </c>
      <c r="J61">
        <v>30</v>
      </c>
      <c r="K61" t="s">
        <v>18</v>
      </c>
      <c r="L61" t="s">
        <v>65</v>
      </c>
    </row>
    <row r="62" spans="1:12">
      <c r="A62" s="1">
        <v>45061</v>
      </c>
      <c r="B62" t="s">
        <v>81</v>
      </c>
      <c r="C62" t="s">
        <v>82</v>
      </c>
      <c r="J62" t="s">
        <v>22</v>
      </c>
      <c r="K62" t="s">
        <v>22</v>
      </c>
      <c r="L62" t="s">
        <v>22</v>
      </c>
    </row>
    <row r="63" spans="1:12">
      <c r="A63" s="1">
        <v>45073</v>
      </c>
      <c r="B63" t="s">
        <v>13</v>
      </c>
      <c r="C63" t="s">
        <v>14</v>
      </c>
      <c r="D63">
        <v>-0.453444444</v>
      </c>
      <c r="E63">
        <v>-1.0847777780000001</v>
      </c>
      <c r="F63">
        <v>0.19400000000000001</v>
      </c>
      <c r="G63">
        <v>3.3517777780000002</v>
      </c>
      <c r="H63">
        <v>3.185333333</v>
      </c>
      <c r="I63">
        <v>3.1986666669999999</v>
      </c>
      <c r="J63">
        <v>0</v>
      </c>
      <c r="K63" t="s">
        <v>22</v>
      </c>
      <c r="L63">
        <v>0</v>
      </c>
    </row>
    <row r="64" spans="1:12">
      <c r="A64" s="1">
        <v>45073</v>
      </c>
      <c r="B64" t="s">
        <v>16</v>
      </c>
      <c r="C64" t="s">
        <v>17</v>
      </c>
      <c r="D64">
        <v>13.11388889</v>
      </c>
      <c r="E64">
        <v>15.517222220000001</v>
      </c>
      <c r="F64">
        <v>85.855000000000004</v>
      </c>
      <c r="G64">
        <v>109.3791111</v>
      </c>
      <c r="H64">
        <v>103.7102222</v>
      </c>
      <c r="I64">
        <v>180.43466670000001</v>
      </c>
      <c r="J64">
        <v>51313</v>
      </c>
      <c r="K64" t="s">
        <v>18</v>
      </c>
      <c r="L64" t="s">
        <v>86</v>
      </c>
    </row>
    <row r="65" spans="1:12">
      <c r="A65" s="1">
        <v>45073</v>
      </c>
      <c r="B65" t="s">
        <v>20</v>
      </c>
      <c r="C65" t="s">
        <v>21</v>
      </c>
      <c r="J65" t="s">
        <v>22</v>
      </c>
      <c r="K65" t="s">
        <v>22</v>
      </c>
      <c r="L65" t="s">
        <v>22</v>
      </c>
    </row>
    <row r="66" spans="1:12">
      <c r="A66" s="1">
        <v>45073</v>
      </c>
      <c r="B66" t="s">
        <v>23</v>
      </c>
      <c r="C66" t="s">
        <v>24</v>
      </c>
      <c r="D66">
        <v>4.8222222219999997</v>
      </c>
      <c r="E66">
        <v>-0.28866666699999999</v>
      </c>
      <c r="G66">
        <v>10.230444439999999</v>
      </c>
      <c r="H66">
        <v>5.4205555560000001</v>
      </c>
      <c r="J66">
        <v>933</v>
      </c>
      <c r="K66" t="s">
        <v>18</v>
      </c>
      <c r="L66" t="s">
        <v>86</v>
      </c>
    </row>
    <row r="67" spans="1:12">
      <c r="A67" s="1">
        <v>45073</v>
      </c>
      <c r="B67" t="s">
        <v>25</v>
      </c>
      <c r="C67" t="s">
        <v>26</v>
      </c>
      <c r="D67">
        <v>1.095777778</v>
      </c>
      <c r="E67">
        <v>-0.628</v>
      </c>
      <c r="F67">
        <v>-3.8326666669999998</v>
      </c>
      <c r="G67">
        <v>5.349111111</v>
      </c>
      <c r="H67">
        <v>3.4691111110000001</v>
      </c>
      <c r="I67">
        <v>3.943333333</v>
      </c>
      <c r="J67">
        <v>31</v>
      </c>
      <c r="K67" t="s">
        <v>15</v>
      </c>
      <c r="L67" t="s">
        <v>15</v>
      </c>
    </row>
    <row r="68" spans="1:12">
      <c r="A68" s="1">
        <v>45073</v>
      </c>
      <c r="B68" t="s">
        <v>27</v>
      </c>
      <c r="C68" t="s">
        <v>28</v>
      </c>
      <c r="D68">
        <v>18.388111110000001</v>
      </c>
      <c r="E68">
        <v>19.02033333</v>
      </c>
      <c r="G68">
        <v>28.587222220000001</v>
      </c>
      <c r="H68">
        <v>36.913888890000003</v>
      </c>
      <c r="J68">
        <v>8217</v>
      </c>
      <c r="K68" t="s">
        <v>15</v>
      </c>
      <c r="L68" t="s">
        <v>15</v>
      </c>
    </row>
    <row r="69" spans="1:12">
      <c r="A69" s="1">
        <v>45073</v>
      </c>
      <c r="B69" t="s">
        <v>29</v>
      </c>
      <c r="C69" t="s">
        <v>30</v>
      </c>
      <c r="J69" t="s">
        <v>22</v>
      </c>
      <c r="K69" t="s">
        <v>22</v>
      </c>
      <c r="L69" t="s">
        <v>22</v>
      </c>
    </row>
    <row r="70" spans="1:12">
      <c r="A70" s="1">
        <v>45073</v>
      </c>
      <c r="B70" t="s">
        <v>31</v>
      </c>
      <c r="C70" t="s">
        <v>32</v>
      </c>
      <c r="J70" t="s">
        <v>22</v>
      </c>
      <c r="K70" t="s">
        <v>22</v>
      </c>
      <c r="L70" t="s">
        <v>22</v>
      </c>
    </row>
    <row r="71" spans="1:12">
      <c r="A71" s="1">
        <v>45073</v>
      </c>
      <c r="B71" t="s">
        <v>33</v>
      </c>
      <c r="C71" t="s">
        <v>34</v>
      </c>
      <c r="D71">
        <v>2.536</v>
      </c>
      <c r="E71">
        <v>-0.72233333300000002</v>
      </c>
      <c r="G71">
        <v>5.673666667</v>
      </c>
      <c r="H71">
        <v>1.7351111109999999</v>
      </c>
      <c r="J71">
        <v>1537</v>
      </c>
      <c r="K71" t="s">
        <v>15</v>
      </c>
      <c r="L71" t="s">
        <v>15</v>
      </c>
    </row>
    <row r="72" spans="1:12">
      <c r="A72" s="1">
        <v>45073</v>
      </c>
      <c r="B72" t="s">
        <v>35</v>
      </c>
      <c r="C72" t="s">
        <v>36</v>
      </c>
      <c r="D72">
        <v>10.08522222</v>
      </c>
      <c r="E72">
        <v>2.7553333329999998</v>
      </c>
      <c r="G72">
        <v>47.045111110000001</v>
      </c>
      <c r="H72">
        <v>11.14066667</v>
      </c>
      <c r="J72">
        <v>4878</v>
      </c>
      <c r="K72" t="s">
        <v>15</v>
      </c>
      <c r="L72" t="s">
        <v>15</v>
      </c>
    </row>
    <row r="73" spans="1:12">
      <c r="A73" s="1">
        <v>45073</v>
      </c>
      <c r="B73" t="s">
        <v>37</v>
      </c>
      <c r="C73" t="s">
        <v>38</v>
      </c>
      <c r="D73">
        <v>326.95033330000001</v>
      </c>
      <c r="E73">
        <v>82.004777779999998</v>
      </c>
      <c r="F73">
        <v>1039.0836670000001</v>
      </c>
      <c r="G73">
        <v>202.49133330000001</v>
      </c>
      <c r="H73">
        <v>130.23577779999999</v>
      </c>
      <c r="I73">
        <v>192.79133329999999</v>
      </c>
      <c r="J73">
        <v>75106</v>
      </c>
      <c r="K73" t="s">
        <v>84</v>
      </c>
      <c r="L73" t="s">
        <v>65</v>
      </c>
    </row>
    <row r="74" spans="1:12">
      <c r="A74" s="1">
        <v>45073</v>
      </c>
      <c r="B74" t="s">
        <v>39</v>
      </c>
      <c r="C74" t="s">
        <v>40</v>
      </c>
      <c r="D74">
        <v>6.942111111</v>
      </c>
      <c r="E74">
        <v>3.8382222220000002</v>
      </c>
      <c r="F74">
        <v>20.104333329999999</v>
      </c>
      <c r="G74">
        <v>8.2277777780000001</v>
      </c>
      <c r="H74">
        <v>5.2461111110000003</v>
      </c>
      <c r="I74">
        <v>16.049666670000001</v>
      </c>
      <c r="J74">
        <v>14</v>
      </c>
      <c r="K74" t="s">
        <v>84</v>
      </c>
      <c r="L74" t="s">
        <v>65</v>
      </c>
    </row>
    <row r="75" spans="1:12">
      <c r="A75" s="1">
        <v>45073</v>
      </c>
      <c r="B75" t="s">
        <v>41</v>
      </c>
      <c r="C75" t="s">
        <v>42</v>
      </c>
      <c r="J75" t="s">
        <v>22</v>
      </c>
      <c r="K75" t="s">
        <v>22</v>
      </c>
      <c r="L75" t="s">
        <v>22</v>
      </c>
    </row>
    <row r="76" spans="1:12">
      <c r="A76" s="1">
        <v>45073</v>
      </c>
      <c r="B76" t="s">
        <v>43</v>
      </c>
      <c r="C76" t="s">
        <v>44</v>
      </c>
      <c r="D76">
        <v>1.230777778</v>
      </c>
      <c r="E76">
        <v>3.224111111</v>
      </c>
      <c r="G76">
        <v>23.189555559999999</v>
      </c>
      <c r="H76">
        <v>13.307333330000001</v>
      </c>
      <c r="J76">
        <v>2823</v>
      </c>
      <c r="K76" t="s">
        <v>18</v>
      </c>
      <c r="L76" t="s">
        <v>87</v>
      </c>
    </row>
    <row r="77" spans="1:12">
      <c r="A77" s="1">
        <v>45073</v>
      </c>
      <c r="B77" t="s">
        <v>45</v>
      </c>
      <c r="C77" t="s">
        <v>46</v>
      </c>
      <c r="D77">
        <v>6.3701111109999999</v>
      </c>
      <c r="E77">
        <v>5.7834444439999997</v>
      </c>
      <c r="G77">
        <v>7.315888889</v>
      </c>
      <c r="H77">
        <v>5.0705555560000004</v>
      </c>
      <c r="J77">
        <v>337</v>
      </c>
      <c r="K77" t="s">
        <v>84</v>
      </c>
      <c r="L77" t="s">
        <v>88</v>
      </c>
    </row>
    <row r="78" spans="1:12">
      <c r="A78" s="1">
        <v>45073</v>
      </c>
      <c r="B78" t="s">
        <v>48</v>
      </c>
      <c r="C78" t="s">
        <v>49</v>
      </c>
      <c r="D78">
        <v>-1.761222222</v>
      </c>
      <c r="E78">
        <v>-1.9643333329999999</v>
      </c>
      <c r="F78">
        <v>1.566666667</v>
      </c>
      <c r="G78">
        <v>7.1322222220000002</v>
      </c>
      <c r="H78">
        <v>7.9106666670000001</v>
      </c>
      <c r="I78">
        <v>7.5903333330000002</v>
      </c>
      <c r="J78">
        <v>10</v>
      </c>
      <c r="K78" t="s">
        <v>15</v>
      </c>
      <c r="L78" t="s">
        <v>15</v>
      </c>
    </row>
    <row r="79" spans="1:12">
      <c r="A79" s="1">
        <v>45073</v>
      </c>
      <c r="B79" t="s">
        <v>50</v>
      </c>
      <c r="C79" t="s">
        <v>51</v>
      </c>
      <c r="D79">
        <v>1.6945555560000001</v>
      </c>
      <c r="E79">
        <v>3.7825555560000002</v>
      </c>
      <c r="G79">
        <v>7.9687777779999998</v>
      </c>
      <c r="H79">
        <v>7.5788888889999999</v>
      </c>
      <c r="J79">
        <v>17243</v>
      </c>
      <c r="K79" t="s">
        <v>15</v>
      </c>
      <c r="L79" t="s">
        <v>15</v>
      </c>
    </row>
    <row r="80" spans="1:12">
      <c r="A80" s="1">
        <v>45073</v>
      </c>
      <c r="B80" t="s">
        <v>53</v>
      </c>
      <c r="C80" t="s">
        <v>54</v>
      </c>
      <c r="D80">
        <v>-0.35733333299999998</v>
      </c>
      <c r="E80">
        <v>1.0681111109999999</v>
      </c>
      <c r="G80">
        <v>5.9337777779999996</v>
      </c>
      <c r="H80">
        <v>7.941555556</v>
      </c>
      <c r="J80">
        <v>43</v>
      </c>
      <c r="K80" t="s">
        <v>15</v>
      </c>
      <c r="L80" t="s">
        <v>15</v>
      </c>
    </row>
    <row r="81" spans="1:13">
      <c r="A81" s="1">
        <v>45073</v>
      </c>
      <c r="B81" t="s">
        <v>56</v>
      </c>
      <c r="C81" t="s">
        <v>57</v>
      </c>
      <c r="D81">
        <v>3.6246666670000001</v>
      </c>
      <c r="E81">
        <v>1.225222222</v>
      </c>
      <c r="G81">
        <v>8.8940000000000001</v>
      </c>
      <c r="H81">
        <v>7.1890000000000001</v>
      </c>
      <c r="J81">
        <v>2304</v>
      </c>
      <c r="K81" t="s">
        <v>15</v>
      </c>
      <c r="L81" t="s">
        <v>15</v>
      </c>
    </row>
    <row r="82" spans="1:13">
      <c r="A82" s="1">
        <v>45073</v>
      </c>
      <c r="B82" t="s">
        <v>59</v>
      </c>
      <c r="C82" t="s">
        <v>60</v>
      </c>
      <c r="D82">
        <v>12.85377778</v>
      </c>
      <c r="E82">
        <v>9.4848888890000005</v>
      </c>
      <c r="G82">
        <v>13.820444439999999</v>
      </c>
      <c r="H82">
        <v>10.777333329999999</v>
      </c>
      <c r="J82">
        <v>1992</v>
      </c>
      <c r="K82" t="s">
        <v>18</v>
      </c>
      <c r="L82" t="s">
        <v>65</v>
      </c>
    </row>
    <row r="83" spans="1:13">
      <c r="A83" s="1">
        <v>45073</v>
      </c>
      <c r="B83" t="s">
        <v>61</v>
      </c>
      <c r="C83" t="s">
        <v>62</v>
      </c>
      <c r="D83">
        <v>6.899</v>
      </c>
      <c r="E83">
        <v>5.9777777780000001</v>
      </c>
      <c r="G83">
        <v>16.69233333</v>
      </c>
      <c r="H83">
        <v>13.53122222</v>
      </c>
      <c r="J83">
        <v>2391</v>
      </c>
      <c r="K83" t="s">
        <v>15</v>
      </c>
      <c r="L83" t="s">
        <v>15</v>
      </c>
    </row>
    <row r="84" spans="1:13">
      <c r="A84" s="1">
        <v>45073</v>
      </c>
      <c r="B84" t="s">
        <v>63</v>
      </c>
      <c r="C84" t="s">
        <v>64</v>
      </c>
      <c r="D84">
        <v>9.9252222220000004</v>
      </c>
      <c r="E84">
        <v>18.196333330000002</v>
      </c>
      <c r="G84">
        <v>44.656111109999998</v>
      </c>
      <c r="H84">
        <v>40.586111109999997</v>
      </c>
      <c r="J84">
        <v>7163</v>
      </c>
      <c r="K84" t="s">
        <v>15</v>
      </c>
      <c r="L84" t="s">
        <v>15</v>
      </c>
    </row>
    <row r="85" spans="1:13">
      <c r="A85" s="1">
        <v>45073</v>
      </c>
      <c r="B85" t="s">
        <v>66</v>
      </c>
      <c r="C85" t="s">
        <v>67</v>
      </c>
      <c r="D85">
        <v>-0.18866666700000001</v>
      </c>
      <c r="E85">
        <v>-3.023111111</v>
      </c>
      <c r="G85">
        <v>6.8120000000000003</v>
      </c>
      <c r="H85">
        <v>5.3624444440000003</v>
      </c>
      <c r="J85">
        <v>1418</v>
      </c>
      <c r="K85" t="s">
        <v>15</v>
      </c>
      <c r="L85" t="s">
        <v>15</v>
      </c>
    </row>
    <row r="86" spans="1:13">
      <c r="A86" s="1">
        <v>45073</v>
      </c>
      <c r="B86" t="s">
        <v>68</v>
      </c>
      <c r="C86" t="s">
        <v>69</v>
      </c>
      <c r="D86">
        <v>-1.8698888890000001</v>
      </c>
      <c r="E86">
        <v>-0.77711111099999997</v>
      </c>
      <c r="G86">
        <v>3.952</v>
      </c>
      <c r="H86">
        <v>4.5226666670000002</v>
      </c>
      <c r="J86">
        <v>23</v>
      </c>
      <c r="K86" t="s">
        <v>15</v>
      </c>
      <c r="L86" t="s">
        <v>15</v>
      </c>
    </row>
    <row r="87" spans="1:13">
      <c r="A87" s="1">
        <v>45073</v>
      </c>
      <c r="B87" t="s">
        <v>70</v>
      </c>
      <c r="C87" t="s">
        <v>71</v>
      </c>
      <c r="D87">
        <v>2.6164444439999999</v>
      </c>
      <c r="E87">
        <v>0.921666667</v>
      </c>
      <c r="G87">
        <v>8.8896666670000002</v>
      </c>
      <c r="H87">
        <v>8.3558333329999996</v>
      </c>
      <c r="J87">
        <v>515</v>
      </c>
      <c r="K87" t="s">
        <v>15</v>
      </c>
      <c r="L87" t="s">
        <v>15</v>
      </c>
    </row>
    <row r="88" spans="1:13">
      <c r="A88" s="1">
        <v>45073</v>
      </c>
      <c r="B88" t="s">
        <v>72</v>
      </c>
      <c r="C88" t="s">
        <v>73</v>
      </c>
      <c r="D88">
        <v>9.7776666670000001</v>
      </c>
      <c r="E88">
        <v>0.865777778</v>
      </c>
      <c r="G88">
        <v>55.37344444</v>
      </c>
      <c r="H88">
        <v>9.3506666670000005</v>
      </c>
      <c r="J88">
        <v>1690</v>
      </c>
      <c r="K88" t="s">
        <v>15</v>
      </c>
      <c r="L88" t="s">
        <v>15</v>
      </c>
    </row>
    <row r="89" spans="1:13">
      <c r="A89" s="1">
        <v>45073</v>
      </c>
      <c r="B89" t="s">
        <v>74</v>
      </c>
      <c r="C89" t="s">
        <v>75</v>
      </c>
      <c r="D89">
        <v>12.346111110000001</v>
      </c>
      <c r="E89">
        <v>7.5372222219999996</v>
      </c>
      <c r="F89">
        <v>26.335000000000001</v>
      </c>
      <c r="G89">
        <v>64.294888889999996</v>
      </c>
      <c r="H89">
        <v>19.86711111</v>
      </c>
      <c r="I89">
        <v>20.536000000000001</v>
      </c>
      <c r="J89">
        <v>209</v>
      </c>
      <c r="K89" t="s">
        <v>84</v>
      </c>
      <c r="L89" t="s">
        <v>89</v>
      </c>
    </row>
    <row r="90" spans="1:13">
      <c r="A90" s="1">
        <v>45073</v>
      </c>
      <c r="B90" t="s">
        <v>77</v>
      </c>
      <c r="C90" t="s">
        <v>78</v>
      </c>
      <c r="D90">
        <v>26.768888889999999</v>
      </c>
      <c r="E90">
        <v>17.903333329999999</v>
      </c>
      <c r="F90">
        <v>17.696666669999999</v>
      </c>
      <c r="G90">
        <v>116.6376667</v>
      </c>
      <c r="H90">
        <v>97.210999999999999</v>
      </c>
      <c r="I90">
        <v>87.374333329999999</v>
      </c>
      <c r="J90">
        <v>13536</v>
      </c>
      <c r="K90" t="s">
        <v>15</v>
      </c>
      <c r="L90" t="s">
        <v>15</v>
      </c>
      <c r="M90" t="s">
        <v>90</v>
      </c>
    </row>
    <row r="91" spans="1:13">
      <c r="A91" s="1">
        <v>45073</v>
      </c>
      <c r="B91" t="s">
        <v>79</v>
      </c>
      <c r="C91" t="s">
        <v>80</v>
      </c>
      <c r="D91">
        <v>-0.75555555600000002</v>
      </c>
      <c r="E91">
        <v>-0.28355555599999999</v>
      </c>
      <c r="G91">
        <v>5.6427777780000001</v>
      </c>
      <c r="H91">
        <v>5.093</v>
      </c>
      <c r="J91">
        <v>1243</v>
      </c>
      <c r="K91" t="s">
        <v>15</v>
      </c>
      <c r="L91" t="s">
        <v>15</v>
      </c>
    </row>
    <row r="92" spans="1:13">
      <c r="A92" s="1">
        <v>45073</v>
      </c>
      <c r="B92" t="s">
        <v>81</v>
      </c>
      <c r="C92" t="s">
        <v>82</v>
      </c>
      <c r="J92" t="s">
        <v>22</v>
      </c>
      <c r="K92" t="s">
        <v>22</v>
      </c>
      <c r="L92" t="s">
        <v>22</v>
      </c>
    </row>
    <row r="93" spans="1:13">
      <c r="A93" s="1">
        <v>45089</v>
      </c>
      <c r="B93" t="s">
        <v>13</v>
      </c>
      <c r="C93" t="s">
        <v>14</v>
      </c>
      <c r="D93">
        <v>10.94055556</v>
      </c>
      <c r="E93">
        <v>7.9062222220000002</v>
      </c>
      <c r="G93">
        <v>15.33888889</v>
      </c>
      <c r="H93">
        <v>12.05666667</v>
      </c>
      <c r="J93">
        <v>11</v>
      </c>
      <c r="K93" t="s">
        <v>15</v>
      </c>
      <c r="L93" t="s">
        <v>15</v>
      </c>
    </row>
    <row r="94" spans="1:13">
      <c r="A94" s="1">
        <v>45089</v>
      </c>
      <c r="B94" t="s">
        <v>16</v>
      </c>
      <c r="C94" t="s">
        <v>17</v>
      </c>
      <c r="D94">
        <v>18.723888890000001</v>
      </c>
      <c r="E94">
        <v>13.12166667</v>
      </c>
      <c r="G94">
        <v>82.755222219999993</v>
      </c>
      <c r="H94">
        <v>78.424111109999998</v>
      </c>
      <c r="J94">
        <v>396</v>
      </c>
      <c r="K94" t="s">
        <v>15</v>
      </c>
      <c r="L94" t="s">
        <v>15</v>
      </c>
    </row>
    <row r="95" spans="1:13">
      <c r="A95" s="1">
        <v>45089</v>
      </c>
      <c r="B95" t="s">
        <v>20</v>
      </c>
      <c r="C95" t="s">
        <v>21</v>
      </c>
      <c r="J95" t="s">
        <v>22</v>
      </c>
      <c r="K95" t="s">
        <v>22</v>
      </c>
      <c r="L95" t="s">
        <v>22</v>
      </c>
    </row>
    <row r="96" spans="1:13">
      <c r="A96" s="1">
        <v>45089</v>
      </c>
      <c r="B96" t="s">
        <v>23</v>
      </c>
      <c r="C96" t="s">
        <v>24</v>
      </c>
      <c r="D96">
        <v>8.0923333329999991</v>
      </c>
      <c r="E96">
        <v>3.3719999999999999</v>
      </c>
      <c r="G96">
        <v>15.987666669999999</v>
      </c>
      <c r="H96">
        <v>13.83544444</v>
      </c>
      <c r="J96">
        <v>77</v>
      </c>
      <c r="K96" t="s">
        <v>84</v>
      </c>
      <c r="L96" t="s">
        <v>91</v>
      </c>
    </row>
    <row r="97" spans="1:13">
      <c r="A97" s="1">
        <v>45089</v>
      </c>
      <c r="B97" t="s">
        <v>25</v>
      </c>
      <c r="C97" t="s">
        <v>26</v>
      </c>
      <c r="D97">
        <v>5.7634444440000001</v>
      </c>
      <c r="E97">
        <v>4.4963333329999999</v>
      </c>
      <c r="G97">
        <v>19.461444440000001</v>
      </c>
      <c r="H97">
        <v>20.783666669999999</v>
      </c>
      <c r="J97">
        <v>82</v>
      </c>
      <c r="K97" t="s">
        <v>15</v>
      </c>
      <c r="L97" t="s">
        <v>15</v>
      </c>
    </row>
    <row r="98" spans="1:13">
      <c r="A98" s="1">
        <v>45089</v>
      </c>
      <c r="B98" t="s">
        <v>27</v>
      </c>
      <c r="C98" t="s">
        <v>28</v>
      </c>
      <c r="D98">
        <v>14.11</v>
      </c>
      <c r="E98">
        <v>17.262222220000002</v>
      </c>
      <c r="G98">
        <v>51.947000000000003</v>
      </c>
      <c r="H98">
        <v>45.352555559999999</v>
      </c>
      <c r="J98">
        <v>283</v>
      </c>
      <c r="K98" t="s">
        <v>15</v>
      </c>
      <c r="L98" t="s">
        <v>15</v>
      </c>
    </row>
    <row r="99" spans="1:13">
      <c r="A99" s="1">
        <v>45089</v>
      </c>
      <c r="B99" t="s">
        <v>29</v>
      </c>
      <c r="C99" t="s">
        <v>30</v>
      </c>
      <c r="J99" t="s">
        <v>22</v>
      </c>
      <c r="K99" t="s">
        <v>22</v>
      </c>
      <c r="L99" t="s">
        <v>22</v>
      </c>
    </row>
    <row r="100" spans="1:13">
      <c r="A100" s="1">
        <v>45089</v>
      </c>
      <c r="B100" t="s">
        <v>31</v>
      </c>
      <c r="C100" t="s">
        <v>32</v>
      </c>
      <c r="J100" t="s">
        <v>22</v>
      </c>
      <c r="K100" t="s">
        <v>22</v>
      </c>
      <c r="L100" t="s">
        <v>22</v>
      </c>
    </row>
    <row r="101" spans="1:13">
      <c r="A101" s="1">
        <v>45089</v>
      </c>
      <c r="B101" t="s">
        <v>33</v>
      </c>
      <c r="C101" t="s">
        <v>34</v>
      </c>
      <c r="D101">
        <v>1.560333333</v>
      </c>
      <c r="E101">
        <v>0.50633333300000005</v>
      </c>
      <c r="G101">
        <v>10.75188889</v>
      </c>
      <c r="H101">
        <v>8.5747777779999996</v>
      </c>
      <c r="J101">
        <v>25</v>
      </c>
      <c r="K101" t="s">
        <v>15</v>
      </c>
      <c r="L101" t="s">
        <v>15</v>
      </c>
    </row>
    <row r="102" spans="1:13">
      <c r="A102" s="1">
        <v>45089</v>
      </c>
      <c r="B102" t="s">
        <v>35</v>
      </c>
      <c r="C102" t="s">
        <v>36</v>
      </c>
      <c r="D102">
        <v>48.582444440000003</v>
      </c>
      <c r="E102">
        <v>30.908000000000001</v>
      </c>
      <c r="G102">
        <v>150.04388890000001</v>
      </c>
      <c r="H102">
        <v>76.730555559999999</v>
      </c>
      <c r="J102">
        <v>272</v>
      </c>
      <c r="K102" t="s">
        <v>15</v>
      </c>
      <c r="L102" t="s">
        <v>15</v>
      </c>
    </row>
    <row r="103" spans="1:13">
      <c r="A103" s="1">
        <v>45089</v>
      </c>
      <c r="B103" t="s">
        <v>37</v>
      </c>
      <c r="C103" t="s">
        <v>38</v>
      </c>
      <c r="D103">
        <v>134.31711110000001</v>
      </c>
      <c r="E103">
        <v>132.02822219999999</v>
      </c>
      <c r="G103">
        <v>364.96588889999998</v>
      </c>
      <c r="H103">
        <v>416.32144440000002</v>
      </c>
      <c r="J103">
        <v>8881</v>
      </c>
      <c r="K103" t="s">
        <v>84</v>
      </c>
      <c r="L103" t="s">
        <v>92</v>
      </c>
    </row>
    <row r="104" spans="1:13">
      <c r="A104" s="1">
        <v>45089</v>
      </c>
      <c r="B104" t="s">
        <v>39</v>
      </c>
      <c r="C104" t="s">
        <v>40</v>
      </c>
      <c r="J104" t="s">
        <v>22</v>
      </c>
      <c r="K104" t="s">
        <v>22</v>
      </c>
      <c r="L104" t="s">
        <v>22</v>
      </c>
    </row>
    <row r="105" spans="1:13">
      <c r="A105" s="1">
        <v>45089</v>
      </c>
      <c r="B105" t="s">
        <v>41</v>
      </c>
      <c r="C105" t="s">
        <v>42</v>
      </c>
      <c r="J105" t="s">
        <v>22</v>
      </c>
      <c r="K105" t="s">
        <v>22</v>
      </c>
      <c r="L105" t="s">
        <v>22</v>
      </c>
    </row>
    <row r="106" spans="1:13">
      <c r="A106" s="1">
        <v>45089</v>
      </c>
      <c r="B106" t="s">
        <v>43</v>
      </c>
      <c r="C106" t="s">
        <v>44</v>
      </c>
      <c r="D106">
        <v>9.6147777780000006</v>
      </c>
      <c r="E106">
        <v>12.709222219999999</v>
      </c>
      <c r="G106">
        <v>25.938111110000001</v>
      </c>
      <c r="H106">
        <v>18.073666670000001</v>
      </c>
      <c r="J106">
        <v>44</v>
      </c>
      <c r="K106" t="s">
        <v>18</v>
      </c>
      <c r="L106" t="s">
        <v>55</v>
      </c>
    </row>
    <row r="107" spans="1:13">
      <c r="A107" s="1">
        <v>45089</v>
      </c>
      <c r="B107" t="s">
        <v>45</v>
      </c>
      <c r="C107" t="s">
        <v>46</v>
      </c>
      <c r="D107">
        <v>6.2935555560000003</v>
      </c>
      <c r="E107">
        <v>6.3372222220000003</v>
      </c>
      <c r="G107">
        <v>10.718666669999999</v>
      </c>
      <c r="H107">
        <v>10.312222220000001</v>
      </c>
      <c r="J107">
        <v>210</v>
      </c>
      <c r="K107" t="s">
        <v>84</v>
      </c>
      <c r="L107" t="s">
        <v>47</v>
      </c>
    </row>
    <row r="108" spans="1:13">
      <c r="A108" s="1">
        <v>45089</v>
      </c>
      <c r="B108" t="s">
        <v>48</v>
      </c>
      <c r="C108" t="s">
        <v>49</v>
      </c>
      <c r="D108">
        <v>7.3471111110000002</v>
      </c>
      <c r="E108">
        <v>0.77433333299999996</v>
      </c>
      <c r="G108">
        <v>12.281000000000001</v>
      </c>
      <c r="H108">
        <v>7.6920000000000002</v>
      </c>
      <c r="J108">
        <v>27</v>
      </c>
      <c r="K108" t="s">
        <v>84</v>
      </c>
      <c r="L108" t="s">
        <v>93</v>
      </c>
    </row>
    <row r="109" spans="1:13">
      <c r="A109" s="1">
        <v>45089</v>
      </c>
      <c r="B109" t="s">
        <v>50</v>
      </c>
      <c r="C109" t="s">
        <v>51</v>
      </c>
      <c r="D109">
        <v>37.74177778</v>
      </c>
      <c r="E109">
        <v>39.116222219999997</v>
      </c>
      <c r="G109">
        <v>66.05277778</v>
      </c>
      <c r="H109">
        <v>63.575000000000003</v>
      </c>
      <c r="J109">
        <v>0</v>
      </c>
      <c r="K109" t="s">
        <v>22</v>
      </c>
      <c r="L109" t="s">
        <v>65</v>
      </c>
      <c r="M109" t="s">
        <v>94</v>
      </c>
    </row>
    <row r="110" spans="1:13">
      <c r="A110" s="1">
        <v>45089</v>
      </c>
      <c r="B110" t="s">
        <v>53</v>
      </c>
      <c r="C110" t="s">
        <v>54</v>
      </c>
      <c r="D110">
        <v>10.545444440000001</v>
      </c>
      <c r="E110">
        <v>8.1576666670000009</v>
      </c>
      <c r="G110">
        <v>14.262444439999999</v>
      </c>
      <c r="H110">
        <v>11.667999999999999</v>
      </c>
      <c r="J110">
        <v>41</v>
      </c>
      <c r="K110" t="s">
        <v>18</v>
      </c>
      <c r="L110" t="s">
        <v>65</v>
      </c>
    </row>
    <row r="111" spans="1:13">
      <c r="A111" s="1">
        <v>45089</v>
      </c>
      <c r="B111" t="s">
        <v>56</v>
      </c>
      <c r="C111" t="s">
        <v>57</v>
      </c>
      <c r="D111">
        <v>1.995555556</v>
      </c>
      <c r="E111">
        <v>4.2755555559999996</v>
      </c>
      <c r="G111">
        <v>9.0164444439999993</v>
      </c>
      <c r="H111">
        <v>8.0280000000000005</v>
      </c>
      <c r="J111">
        <v>27</v>
      </c>
      <c r="K111" t="s">
        <v>18</v>
      </c>
      <c r="L111" t="s">
        <v>65</v>
      </c>
    </row>
    <row r="112" spans="1:13">
      <c r="A112" s="1">
        <v>45089</v>
      </c>
      <c r="B112" t="s">
        <v>59</v>
      </c>
      <c r="C112" t="s">
        <v>60</v>
      </c>
      <c r="D112">
        <v>4.8879999999999999</v>
      </c>
      <c r="E112">
        <v>3.1241111109999999</v>
      </c>
      <c r="G112">
        <v>11.87644444</v>
      </c>
      <c r="H112">
        <v>12.45744444</v>
      </c>
      <c r="J112">
        <v>102</v>
      </c>
      <c r="K112" t="s">
        <v>15</v>
      </c>
      <c r="L112" t="s">
        <v>15</v>
      </c>
    </row>
    <row r="113" spans="1:13">
      <c r="A113" s="1">
        <v>45089</v>
      </c>
      <c r="B113" t="s">
        <v>61</v>
      </c>
      <c r="C113" t="s">
        <v>62</v>
      </c>
      <c r="D113">
        <v>8.2319999999999993</v>
      </c>
      <c r="E113">
        <v>4.5081111109999998</v>
      </c>
      <c r="G113">
        <v>13.502555559999999</v>
      </c>
      <c r="H113">
        <v>11.63577778</v>
      </c>
      <c r="J113">
        <v>48</v>
      </c>
      <c r="K113" t="s">
        <v>15</v>
      </c>
      <c r="L113" t="s">
        <v>15</v>
      </c>
    </row>
    <row r="114" spans="1:13">
      <c r="A114" s="1">
        <v>45089</v>
      </c>
      <c r="B114" t="s">
        <v>63</v>
      </c>
      <c r="C114" t="s">
        <v>64</v>
      </c>
      <c r="D114">
        <v>25.655666669999999</v>
      </c>
      <c r="E114">
        <v>21.967888890000001</v>
      </c>
      <c r="G114">
        <v>80.184555560000007</v>
      </c>
      <c r="H114">
        <v>58.706777780000003</v>
      </c>
      <c r="J114">
        <v>297</v>
      </c>
      <c r="K114" t="s">
        <v>15</v>
      </c>
      <c r="L114" t="s">
        <v>15</v>
      </c>
    </row>
    <row r="115" spans="1:13">
      <c r="A115" s="1">
        <v>45089</v>
      </c>
      <c r="B115" t="s">
        <v>66</v>
      </c>
      <c r="C115" t="s">
        <v>67</v>
      </c>
      <c r="D115">
        <v>12.435888889999999</v>
      </c>
      <c r="E115">
        <v>2.6749999999999998</v>
      </c>
      <c r="G115">
        <v>17.871111110000001</v>
      </c>
      <c r="H115">
        <v>13.525555560000001</v>
      </c>
      <c r="J115">
        <v>37</v>
      </c>
      <c r="K115" t="s">
        <v>18</v>
      </c>
      <c r="L115" t="s">
        <v>65</v>
      </c>
    </row>
    <row r="116" spans="1:13">
      <c r="A116" s="1">
        <v>45089</v>
      </c>
      <c r="B116" t="s">
        <v>68</v>
      </c>
      <c r="C116" t="s">
        <v>69</v>
      </c>
      <c r="D116">
        <v>6.6415555560000001</v>
      </c>
      <c r="E116">
        <v>5.9682222219999996</v>
      </c>
      <c r="G116">
        <v>14.11677778</v>
      </c>
      <c r="H116">
        <v>13.61566667</v>
      </c>
      <c r="J116">
        <v>44</v>
      </c>
      <c r="K116" t="s">
        <v>15</v>
      </c>
      <c r="L116" t="s">
        <v>15</v>
      </c>
    </row>
    <row r="117" spans="1:13">
      <c r="A117" s="1">
        <v>45089</v>
      </c>
      <c r="B117" t="s">
        <v>70</v>
      </c>
      <c r="C117" t="s">
        <v>71</v>
      </c>
      <c r="D117">
        <v>28.261222220000001</v>
      </c>
      <c r="E117">
        <v>19.951222219999998</v>
      </c>
      <c r="G117">
        <v>23.433</v>
      </c>
      <c r="H117">
        <v>18.779666670000001</v>
      </c>
      <c r="J117">
        <v>1031</v>
      </c>
      <c r="K117" t="s">
        <v>15</v>
      </c>
      <c r="L117" t="s">
        <v>15</v>
      </c>
    </row>
    <row r="118" spans="1:13">
      <c r="A118" s="1">
        <v>45089</v>
      </c>
      <c r="B118" t="s">
        <v>72</v>
      </c>
      <c r="C118" t="s">
        <v>73</v>
      </c>
      <c r="D118">
        <v>12.63577778</v>
      </c>
      <c r="E118">
        <v>38.543555560000001</v>
      </c>
      <c r="G118">
        <v>46.941777780000002</v>
      </c>
      <c r="H118">
        <v>43.886222220000001</v>
      </c>
      <c r="J118">
        <v>1514</v>
      </c>
      <c r="K118" t="s">
        <v>15</v>
      </c>
      <c r="L118" t="s">
        <v>15</v>
      </c>
    </row>
    <row r="119" spans="1:13">
      <c r="A119" s="1">
        <v>45089</v>
      </c>
      <c r="B119" t="s">
        <v>74</v>
      </c>
      <c r="C119" t="s">
        <v>75</v>
      </c>
      <c r="J119" t="s">
        <v>22</v>
      </c>
      <c r="K119" t="s">
        <v>22</v>
      </c>
      <c r="L119" t="s">
        <v>22</v>
      </c>
    </row>
    <row r="120" spans="1:13">
      <c r="A120" s="1">
        <v>45089</v>
      </c>
      <c r="B120" t="s">
        <v>77</v>
      </c>
      <c r="C120" t="s">
        <v>78</v>
      </c>
      <c r="D120">
        <v>30.976444440000002</v>
      </c>
      <c r="E120">
        <v>24.913111109999999</v>
      </c>
      <c r="G120">
        <v>159.70733329999999</v>
      </c>
      <c r="H120">
        <v>121.10733329999999</v>
      </c>
      <c r="J120">
        <v>1604</v>
      </c>
      <c r="K120" t="s">
        <v>15</v>
      </c>
      <c r="L120" t="s">
        <v>15</v>
      </c>
      <c r="M120" t="s">
        <v>90</v>
      </c>
    </row>
    <row r="121" spans="1:13">
      <c r="A121" s="1">
        <v>45089</v>
      </c>
      <c r="B121" t="s">
        <v>79</v>
      </c>
      <c r="C121" t="s">
        <v>80</v>
      </c>
      <c r="D121">
        <v>2.9611111110000001</v>
      </c>
      <c r="E121">
        <v>3.4203333329999999</v>
      </c>
      <c r="G121">
        <v>14.016111110000001</v>
      </c>
      <c r="H121">
        <v>13.93277778</v>
      </c>
      <c r="J121">
        <v>25</v>
      </c>
      <c r="K121" t="s">
        <v>95</v>
      </c>
      <c r="L121" t="s">
        <v>15</v>
      </c>
    </row>
    <row r="122" spans="1:13">
      <c r="A122" s="1">
        <v>45089</v>
      </c>
      <c r="B122" t="s">
        <v>81</v>
      </c>
      <c r="C122" t="s">
        <v>82</v>
      </c>
      <c r="J122" t="s">
        <v>22</v>
      </c>
      <c r="K122" t="s">
        <v>22</v>
      </c>
      <c r="L122" t="s">
        <v>22</v>
      </c>
    </row>
    <row r="123" spans="1:13">
      <c r="A123" s="1">
        <v>45117</v>
      </c>
      <c r="B123" t="s">
        <v>13</v>
      </c>
      <c r="C123" t="s">
        <v>14</v>
      </c>
      <c r="D123">
        <v>3.7417777779999999</v>
      </c>
      <c r="E123">
        <v>4.8727777779999997</v>
      </c>
      <c r="G123">
        <v>8.8718888889999992</v>
      </c>
      <c r="H123">
        <v>8.1795555560000004</v>
      </c>
      <c r="J123">
        <v>60</v>
      </c>
      <c r="K123" t="s">
        <v>15</v>
      </c>
      <c r="L123" t="s">
        <v>15</v>
      </c>
    </row>
    <row r="124" spans="1:13">
      <c r="A124" s="1">
        <v>45117</v>
      </c>
      <c r="B124" t="s">
        <v>16</v>
      </c>
      <c r="C124" t="s">
        <v>17</v>
      </c>
      <c r="D124">
        <v>188.33066669999999</v>
      </c>
      <c r="E124">
        <v>120.6862222</v>
      </c>
      <c r="G124">
        <v>127.1733333</v>
      </c>
      <c r="H124">
        <v>123.4288889</v>
      </c>
      <c r="J124">
        <v>284</v>
      </c>
      <c r="K124" t="s">
        <v>96</v>
      </c>
      <c r="L124" t="s">
        <v>97</v>
      </c>
    </row>
    <row r="125" spans="1:13">
      <c r="A125" s="1">
        <v>45117</v>
      </c>
      <c r="B125" t="s">
        <v>20</v>
      </c>
      <c r="C125" t="s">
        <v>21</v>
      </c>
      <c r="J125" t="s">
        <v>22</v>
      </c>
      <c r="K125" t="s">
        <v>22</v>
      </c>
      <c r="L125" t="s">
        <v>22</v>
      </c>
    </row>
    <row r="126" spans="1:13">
      <c r="A126" s="1">
        <v>45117</v>
      </c>
      <c r="B126" t="s">
        <v>23</v>
      </c>
      <c r="C126" t="s">
        <v>24</v>
      </c>
      <c r="D126">
        <v>11.70466667</v>
      </c>
      <c r="E126">
        <v>7.1002222220000002</v>
      </c>
      <c r="G126">
        <v>9.7304444439999997</v>
      </c>
      <c r="H126">
        <v>9.6076666670000002</v>
      </c>
      <c r="J126">
        <v>165</v>
      </c>
      <c r="K126" t="s">
        <v>96</v>
      </c>
      <c r="L126" t="s">
        <v>91</v>
      </c>
    </row>
    <row r="127" spans="1:13">
      <c r="A127" s="1">
        <v>45117</v>
      </c>
      <c r="B127" t="s">
        <v>25</v>
      </c>
      <c r="C127" t="s">
        <v>26</v>
      </c>
      <c r="D127">
        <v>3.2277777780000001</v>
      </c>
      <c r="E127">
        <v>8.0005555560000001</v>
      </c>
      <c r="G127">
        <v>14.76466667</v>
      </c>
      <c r="H127">
        <v>17.793555560000001</v>
      </c>
      <c r="J127">
        <v>44</v>
      </c>
      <c r="K127" t="s">
        <v>15</v>
      </c>
      <c r="L127" t="s">
        <v>15</v>
      </c>
    </row>
    <row r="128" spans="1:13">
      <c r="A128" s="1">
        <v>45117</v>
      </c>
      <c r="B128" t="s">
        <v>27</v>
      </c>
      <c r="C128" t="s">
        <v>28</v>
      </c>
      <c r="D128">
        <v>4.4717777779999999</v>
      </c>
      <c r="E128">
        <v>4.1603333329999996</v>
      </c>
      <c r="G128">
        <v>14.18566667</v>
      </c>
      <c r="H128">
        <v>13.50788889</v>
      </c>
      <c r="J128">
        <v>32</v>
      </c>
      <c r="K128" t="s">
        <v>15</v>
      </c>
      <c r="L128" t="s">
        <v>15</v>
      </c>
    </row>
    <row r="129" spans="1:13">
      <c r="A129" s="1">
        <v>45117</v>
      </c>
      <c r="B129" t="s">
        <v>29</v>
      </c>
      <c r="C129" t="s">
        <v>30</v>
      </c>
      <c r="J129" t="s">
        <v>22</v>
      </c>
      <c r="K129" t="s">
        <v>22</v>
      </c>
      <c r="L129" t="s">
        <v>22</v>
      </c>
    </row>
    <row r="130" spans="1:13">
      <c r="A130" s="1">
        <v>45117</v>
      </c>
      <c r="B130" t="s">
        <v>31</v>
      </c>
      <c r="C130" t="s">
        <v>32</v>
      </c>
      <c r="D130">
        <v>65.600555560000004</v>
      </c>
      <c r="E130">
        <v>19.937222219999999</v>
      </c>
      <c r="G130">
        <v>283.09288889999999</v>
      </c>
      <c r="H130">
        <v>34.076222219999998</v>
      </c>
      <c r="J130">
        <v>272</v>
      </c>
      <c r="K130" t="s">
        <v>84</v>
      </c>
      <c r="L130" t="s">
        <v>98</v>
      </c>
      <c r="M130" t="s">
        <v>99</v>
      </c>
    </row>
    <row r="131" spans="1:13">
      <c r="A131" s="1">
        <v>45117</v>
      </c>
      <c r="B131" t="s">
        <v>33</v>
      </c>
      <c r="C131" t="s">
        <v>34</v>
      </c>
      <c r="D131">
        <v>7.0853333330000003</v>
      </c>
      <c r="E131">
        <v>3.4906666670000002</v>
      </c>
      <c r="G131">
        <v>10.03944444</v>
      </c>
      <c r="H131">
        <v>6.090555556</v>
      </c>
      <c r="J131">
        <v>21</v>
      </c>
      <c r="K131" t="s">
        <v>15</v>
      </c>
      <c r="L131" t="s">
        <v>15</v>
      </c>
    </row>
    <row r="132" spans="1:13">
      <c r="A132" s="1">
        <v>45117</v>
      </c>
      <c r="B132" t="s">
        <v>35</v>
      </c>
      <c r="C132" t="s">
        <v>36</v>
      </c>
      <c r="D132">
        <v>8.0334444440000006</v>
      </c>
      <c r="E132">
        <v>8.0423333330000002</v>
      </c>
      <c r="G132">
        <v>16.551555560000001</v>
      </c>
      <c r="H132">
        <v>14.713777779999999</v>
      </c>
      <c r="J132">
        <v>0</v>
      </c>
      <c r="K132" t="s">
        <v>22</v>
      </c>
      <c r="L132">
        <v>0</v>
      </c>
    </row>
    <row r="133" spans="1:13">
      <c r="A133" s="1">
        <v>45117</v>
      </c>
      <c r="B133" t="s">
        <v>37</v>
      </c>
      <c r="C133" t="s">
        <v>38</v>
      </c>
      <c r="J133" t="s">
        <v>22</v>
      </c>
      <c r="K133" t="s">
        <v>22</v>
      </c>
      <c r="L133" t="s">
        <v>22</v>
      </c>
    </row>
    <row r="134" spans="1:13">
      <c r="A134" s="1">
        <v>45117</v>
      </c>
      <c r="B134" t="s">
        <v>39</v>
      </c>
      <c r="C134" t="s">
        <v>40</v>
      </c>
      <c r="D134">
        <v>0.71299999999999997</v>
      </c>
      <c r="E134">
        <v>-3.125666667</v>
      </c>
      <c r="G134">
        <v>6.4497777779999996</v>
      </c>
      <c r="H134">
        <v>4.1208888889999997</v>
      </c>
      <c r="J134">
        <v>37</v>
      </c>
      <c r="K134" t="s">
        <v>15</v>
      </c>
      <c r="L134" t="s">
        <v>15</v>
      </c>
    </row>
    <row r="135" spans="1:13">
      <c r="A135" s="1">
        <v>45117</v>
      </c>
      <c r="B135" t="s">
        <v>41</v>
      </c>
      <c r="C135" t="s">
        <v>42</v>
      </c>
      <c r="D135">
        <v>17.446777780000001</v>
      </c>
      <c r="E135">
        <v>19.245666669999999</v>
      </c>
      <c r="G135">
        <v>159.9687778</v>
      </c>
      <c r="H135">
        <v>153.03544439999999</v>
      </c>
      <c r="J135">
        <v>107</v>
      </c>
      <c r="K135" t="s">
        <v>15</v>
      </c>
      <c r="L135" t="s">
        <v>15</v>
      </c>
      <c r="M135" t="s">
        <v>90</v>
      </c>
    </row>
    <row r="136" spans="1:13">
      <c r="A136" s="1">
        <v>45117</v>
      </c>
      <c r="B136" t="s">
        <v>43</v>
      </c>
      <c r="C136" t="s">
        <v>44</v>
      </c>
      <c r="D136">
        <v>35.27933333</v>
      </c>
      <c r="E136">
        <v>28.734888890000001</v>
      </c>
      <c r="G136">
        <v>79.812666669999999</v>
      </c>
      <c r="H136">
        <v>44.760444440000001</v>
      </c>
      <c r="J136">
        <v>99</v>
      </c>
      <c r="K136" t="s">
        <v>96</v>
      </c>
      <c r="L136" t="s">
        <v>92</v>
      </c>
    </row>
    <row r="137" spans="1:13">
      <c r="A137" s="1">
        <v>45117</v>
      </c>
      <c r="B137" t="s">
        <v>45</v>
      </c>
      <c r="C137" t="s">
        <v>46</v>
      </c>
      <c r="D137">
        <v>10.43166667</v>
      </c>
      <c r="E137">
        <v>4.6751111109999997</v>
      </c>
      <c r="G137">
        <v>16.861999999999998</v>
      </c>
      <c r="H137">
        <v>12.973000000000001</v>
      </c>
      <c r="J137">
        <v>177</v>
      </c>
      <c r="K137" t="s">
        <v>96</v>
      </c>
      <c r="L137" t="s">
        <v>100</v>
      </c>
    </row>
    <row r="138" spans="1:13">
      <c r="A138" s="1">
        <v>45117</v>
      </c>
      <c r="B138" t="s">
        <v>48</v>
      </c>
      <c r="C138" t="s">
        <v>49</v>
      </c>
      <c r="D138">
        <v>22.504000000000001</v>
      </c>
      <c r="E138">
        <v>16.278444440000001</v>
      </c>
      <c r="G138">
        <v>20.258555560000001</v>
      </c>
      <c r="H138">
        <v>18.02744444</v>
      </c>
      <c r="J138">
        <v>140</v>
      </c>
      <c r="K138" t="s">
        <v>96</v>
      </c>
      <c r="L138" t="s">
        <v>91</v>
      </c>
    </row>
    <row r="139" spans="1:13">
      <c r="A139" s="1">
        <v>45117</v>
      </c>
      <c r="B139" t="s">
        <v>50</v>
      </c>
      <c r="C139" t="s">
        <v>51</v>
      </c>
      <c r="D139">
        <v>16.242000000000001</v>
      </c>
      <c r="E139">
        <v>14.56644444</v>
      </c>
      <c r="G139">
        <v>34.695</v>
      </c>
      <c r="H139">
        <v>24.810555560000001</v>
      </c>
      <c r="J139">
        <v>1113</v>
      </c>
      <c r="K139" t="s">
        <v>18</v>
      </c>
      <c r="L139" t="s">
        <v>65</v>
      </c>
    </row>
    <row r="140" spans="1:13">
      <c r="A140" s="1">
        <v>45117</v>
      </c>
      <c r="B140" t="s">
        <v>53</v>
      </c>
      <c r="C140" t="s">
        <v>54</v>
      </c>
      <c r="D140">
        <v>12.69222222</v>
      </c>
      <c r="E140">
        <v>8.4877777779999999</v>
      </c>
      <c r="G140">
        <v>26.447777779999999</v>
      </c>
      <c r="H140">
        <v>19.857777779999999</v>
      </c>
      <c r="J140">
        <v>195</v>
      </c>
      <c r="K140" t="s">
        <v>96</v>
      </c>
      <c r="L140" t="s">
        <v>101</v>
      </c>
    </row>
    <row r="141" spans="1:13">
      <c r="A141" s="1">
        <v>45117</v>
      </c>
      <c r="B141" t="s">
        <v>56</v>
      </c>
      <c r="C141" t="s">
        <v>57</v>
      </c>
      <c r="D141">
        <v>5.5154444439999999</v>
      </c>
      <c r="E141">
        <v>5.8222222219999997</v>
      </c>
      <c r="G141">
        <v>27.358222219999998</v>
      </c>
      <c r="H141">
        <v>27.801555560000001</v>
      </c>
      <c r="J141">
        <v>27</v>
      </c>
      <c r="K141" t="s">
        <v>18</v>
      </c>
      <c r="L141" t="s">
        <v>52</v>
      </c>
    </row>
    <row r="142" spans="1:13">
      <c r="A142" s="1">
        <v>45117</v>
      </c>
      <c r="B142" t="s">
        <v>59</v>
      </c>
      <c r="C142" t="s">
        <v>60</v>
      </c>
      <c r="D142">
        <v>9.7016666669999996</v>
      </c>
      <c r="E142">
        <v>6.9672222220000002</v>
      </c>
      <c r="G142">
        <v>14.59888889</v>
      </c>
      <c r="H142">
        <v>15.45333333</v>
      </c>
      <c r="J142">
        <v>166</v>
      </c>
      <c r="K142" t="s">
        <v>84</v>
      </c>
      <c r="L142" t="s">
        <v>102</v>
      </c>
    </row>
    <row r="143" spans="1:13">
      <c r="A143" s="1">
        <v>45117</v>
      </c>
      <c r="B143" t="s">
        <v>61</v>
      </c>
      <c r="C143" t="s">
        <v>62</v>
      </c>
      <c r="J143" t="s">
        <v>22</v>
      </c>
      <c r="K143" t="s">
        <v>22</v>
      </c>
      <c r="L143" t="s">
        <v>22</v>
      </c>
    </row>
    <row r="144" spans="1:13">
      <c r="A144" s="1">
        <v>45117</v>
      </c>
      <c r="B144" t="s">
        <v>63</v>
      </c>
      <c r="C144" t="s">
        <v>64</v>
      </c>
      <c r="D144">
        <v>22.62088889</v>
      </c>
      <c r="E144">
        <v>24.94533333</v>
      </c>
      <c r="G144">
        <v>109.05933330000001</v>
      </c>
      <c r="H144">
        <v>108.95822219999999</v>
      </c>
      <c r="J144">
        <v>106</v>
      </c>
      <c r="K144" t="s">
        <v>15</v>
      </c>
      <c r="L144" t="s">
        <v>15</v>
      </c>
    </row>
    <row r="145" spans="1:13">
      <c r="A145" s="1">
        <v>45117</v>
      </c>
      <c r="B145" t="s">
        <v>66</v>
      </c>
      <c r="C145" t="s">
        <v>67</v>
      </c>
      <c r="D145">
        <v>1.2694444439999999</v>
      </c>
      <c r="E145">
        <v>1.912111111</v>
      </c>
      <c r="G145">
        <v>9.9883333329999999</v>
      </c>
      <c r="H145">
        <v>9.7372222219999998</v>
      </c>
      <c r="J145">
        <v>72</v>
      </c>
      <c r="K145" t="s">
        <v>18</v>
      </c>
      <c r="L145" t="s">
        <v>103</v>
      </c>
    </row>
    <row r="146" spans="1:13">
      <c r="A146" s="1">
        <v>45117</v>
      </c>
      <c r="B146" t="s">
        <v>68</v>
      </c>
      <c r="C146" t="s">
        <v>69</v>
      </c>
      <c r="D146">
        <v>14.80211111</v>
      </c>
      <c r="E146">
        <v>7.2754444439999997</v>
      </c>
      <c r="G146">
        <v>42.782555559999999</v>
      </c>
      <c r="H146">
        <v>36.704777780000001</v>
      </c>
      <c r="J146">
        <v>141</v>
      </c>
      <c r="K146" t="s">
        <v>18</v>
      </c>
      <c r="L146" t="s">
        <v>58</v>
      </c>
    </row>
    <row r="147" spans="1:13">
      <c r="A147" s="1">
        <v>45117</v>
      </c>
      <c r="B147" t="s">
        <v>70</v>
      </c>
      <c r="C147" t="s">
        <v>71</v>
      </c>
      <c r="D147">
        <v>10.502777780000001</v>
      </c>
      <c r="E147">
        <v>5.8476666670000004</v>
      </c>
      <c r="G147">
        <v>14.77277778</v>
      </c>
      <c r="H147">
        <v>11.938111109999999</v>
      </c>
      <c r="J147">
        <v>27</v>
      </c>
      <c r="K147" t="s">
        <v>18</v>
      </c>
      <c r="L147" t="s">
        <v>55</v>
      </c>
    </row>
    <row r="148" spans="1:13">
      <c r="A148" s="1">
        <v>45117</v>
      </c>
      <c r="B148" t="s">
        <v>72</v>
      </c>
      <c r="C148" t="s">
        <v>73</v>
      </c>
      <c r="D148">
        <v>19.280999999999999</v>
      </c>
      <c r="E148">
        <v>13.63433333</v>
      </c>
      <c r="G148">
        <v>40.01355556</v>
      </c>
      <c r="H148">
        <v>18.518000000000001</v>
      </c>
      <c r="J148">
        <v>368</v>
      </c>
      <c r="K148" t="s">
        <v>84</v>
      </c>
      <c r="L148" t="s">
        <v>91</v>
      </c>
      <c r="M148" t="s">
        <v>104</v>
      </c>
    </row>
    <row r="149" spans="1:13">
      <c r="A149" s="1">
        <v>45117</v>
      </c>
      <c r="B149" t="s">
        <v>74</v>
      </c>
      <c r="C149" t="s">
        <v>75</v>
      </c>
      <c r="J149" t="s">
        <v>22</v>
      </c>
      <c r="K149" t="s">
        <v>22</v>
      </c>
      <c r="L149" t="s">
        <v>22</v>
      </c>
    </row>
    <row r="150" spans="1:13">
      <c r="A150" s="1">
        <v>45117</v>
      </c>
      <c r="B150" t="s">
        <v>77</v>
      </c>
      <c r="C150" t="s">
        <v>78</v>
      </c>
      <c r="E150">
        <v>1390.078667</v>
      </c>
      <c r="G150">
        <v>280.4986667</v>
      </c>
      <c r="H150">
        <v>142.66533329999999</v>
      </c>
      <c r="J150" t="s">
        <v>22</v>
      </c>
      <c r="K150" t="s">
        <v>22</v>
      </c>
      <c r="L150" t="s">
        <v>22</v>
      </c>
      <c r="M150" t="s">
        <v>105</v>
      </c>
    </row>
    <row r="151" spans="1:13">
      <c r="A151" s="1">
        <v>45117</v>
      </c>
      <c r="B151" t="s">
        <v>79</v>
      </c>
      <c r="C151" t="s">
        <v>80</v>
      </c>
      <c r="D151">
        <v>2.313777778</v>
      </c>
      <c r="E151">
        <v>1.348555556</v>
      </c>
      <c r="G151">
        <v>12.50522222</v>
      </c>
      <c r="H151">
        <v>10.54744444</v>
      </c>
      <c r="J151">
        <v>19</v>
      </c>
      <c r="K151" t="s">
        <v>18</v>
      </c>
      <c r="L151" t="s">
        <v>65</v>
      </c>
    </row>
    <row r="152" spans="1:13">
      <c r="A152" s="1">
        <v>45117</v>
      </c>
      <c r="B152" t="s">
        <v>81</v>
      </c>
      <c r="C152" t="s">
        <v>82</v>
      </c>
      <c r="J152" t="s">
        <v>22</v>
      </c>
      <c r="K152" t="s">
        <v>22</v>
      </c>
      <c r="L152" t="s">
        <v>22</v>
      </c>
    </row>
    <row r="153" spans="1:13">
      <c r="A153" s="1">
        <v>45129</v>
      </c>
      <c r="B153" t="s">
        <v>13</v>
      </c>
      <c r="C153" t="s">
        <v>14</v>
      </c>
      <c r="D153">
        <v>4.6694444439999998</v>
      </c>
      <c r="E153">
        <v>7.4774444439999996</v>
      </c>
      <c r="G153">
        <v>8.8608888889999999</v>
      </c>
      <c r="H153">
        <v>10.12122222</v>
      </c>
      <c r="J153">
        <v>118</v>
      </c>
      <c r="K153" t="s">
        <v>15</v>
      </c>
      <c r="L153" t="s">
        <v>15</v>
      </c>
    </row>
    <row r="154" spans="1:13">
      <c r="A154" s="1">
        <v>45129</v>
      </c>
      <c r="B154" t="s">
        <v>16</v>
      </c>
      <c r="C154" t="s">
        <v>17</v>
      </c>
      <c r="D154">
        <v>200.47344440000001</v>
      </c>
      <c r="E154">
        <v>139.89566669999999</v>
      </c>
      <c r="F154">
        <v>655.26233330000002</v>
      </c>
      <c r="G154">
        <v>77.709666670000004</v>
      </c>
      <c r="H154">
        <v>67.649666670000002</v>
      </c>
      <c r="I154">
        <v>102.00633329999999</v>
      </c>
      <c r="J154">
        <v>3150</v>
      </c>
      <c r="K154" t="s">
        <v>96</v>
      </c>
      <c r="L154" t="s">
        <v>65</v>
      </c>
    </row>
    <row r="155" spans="1:13">
      <c r="A155" s="1">
        <v>45129</v>
      </c>
      <c r="B155" t="s">
        <v>20</v>
      </c>
      <c r="C155" t="s">
        <v>21</v>
      </c>
      <c r="J155" t="s">
        <v>22</v>
      </c>
      <c r="K155" t="s">
        <v>22</v>
      </c>
      <c r="L155" t="s">
        <v>22</v>
      </c>
    </row>
    <row r="156" spans="1:13">
      <c r="A156" s="1">
        <v>45129</v>
      </c>
      <c r="B156" t="s">
        <v>23</v>
      </c>
      <c r="C156" t="s">
        <v>24</v>
      </c>
      <c r="D156">
        <v>21.401555559999998</v>
      </c>
      <c r="E156">
        <v>16.479333329999999</v>
      </c>
      <c r="G156">
        <v>69.274333330000005</v>
      </c>
      <c r="H156">
        <v>49.385444440000001</v>
      </c>
      <c r="J156">
        <v>416</v>
      </c>
      <c r="K156" t="s">
        <v>18</v>
      </c>
      <c r="L156" t="s">
        <v>86</v>
      </c>
    </row>
    <row r="157" spans="1:13">
      <c r="A157" s="1">
        <v>45129</v>
      </c>
      <c r="B157" t="s">
        <v>25</v>
      </c>
      <c r="C157" t="s">
        <v>26</v>
      </c>
      <c r="D157">
        <v>54.167666670000003</v>
      </c>
      <c r="E157">
        <v>18.42322222</v>
      </c>
      <c r="F157">
        <v>10.007666670000001</v>
      </c>
      <c r="G157">
        <v>40.62044444</v>
      </c>
      <c r="H157">
        <v>30.52822222</v>
      </c>
      <c r="I157">
        <v>17.632666669999999</v>
      </c>
      <c r="J157">
        <v>105</v>
      </c>
      <c r="K157" t="s">
        <v>15</v>
      </c>
      <c r="L157" t="s">
        <v>15</v>
      </c>
    </row>
    <row r="158" spans="1:13">
      <c r="A158" s="1">
        <v>45129</v>
      </c>
      <c r="B158" t="s">
        <v>27</v>
      </c>
      <c r="C158" t="s">
        <v>28</v>
      </c>
      <c r="D158">
        <v>17.522777779999998</v>
      </c>
      <c r="E158">
        <v>16.21277778</v>
      </c>
      <c r="G158">
        <v>46.53311111</v>
      </c>
      <c r="H158">
        <v>24.659777779999999</v>
      </c>
      <c r="J158">
        <v>27</v>
      </c>
      <c r="K158" t="s">
        <v>15</v>
      </c>
      <c r="L158" t="s">
        <v>15</v>
      </c>
    </row>
    <row r="159" spans="1:13">
      <c r="A159" s="1">
        <v>45129</v>
      </c>
      <c r="B159" t="s">
        <v>29</v>
      </c>
      <c r="C159" t="s">
        <v>30</v>
      </c>
      <c r="J159" t="s">
        <v>22</v>
      </c>
      <c r="K159" t="s">
        <v>22</v>
      </c>
      <c r="L159" t="s">
        <v>22</v>
      </c>
    </row>
    <row r="160" spans="1:13">
      <c r="A160" s="1">
        <v>45129</v>
      </c>
      <c r="B160" t="s">
        <v>31</v>
      </c>
      <c r="C160" t="s">
        <v>32</v>
      </c>
      <c r="J160" t="s">
        <v>22</v>
      </c>
      <c r="K160" t="s">
        <v>22</v>
      </c>
      <c r="L160" t="s">
        <v>22</v>
      </c>
    </row>
    <row r="161" spans="1:12">
      <c r="A161" s="1">
        <v>45129</v>
      </c>
      <c r="B161" t="s">
        <v>33</v>
      </c>
      <c r="C161" t="s">
        <v>34</v>
      </c>
      <c r="J161" t="s">
        <v>22</v>
      </c>
      <c r="K161" t="s">
        <v>22</v>
      </c>
      <c r="L161" t="s">
        <v>22</v>
      </c>
    </row>
    <row r="162" spans="1:12">
      <c r="A162" s="1">
        <v>45129</v>
      </c>
      <c r="B162" t="s">
        <v>35</v>
      </c>
      <c r="C162" t="s">
        <v>36</v>
      </c>
      <c r="D162">
        <v>16.604444440000002</v>
      </c>
      <c r="E162">
        <v>15.67777778</v>
      </c>
      <c r="G162">
        <v>22.709555559999998</v>
      </c>
      <c r="H162">
        <v>23.368444440000001</v>
      </c>
      <c r="J162">
        <v>628</v>
      </c>
      <c r="K162" t="s">
        <v>18</v>
      </c>
      <c r="L162" t="s">
        <v>65</v>
      </c>
    </row>
    <row r="163" spans="1:12">
      <c r="A163" s="1">
        <v>45129</v>
      </c>
      <c r="B163" t="s">
        <v>37</v>
      </c>
      <c r="C163" t="s">
        <v>38</v>
      </c>
      <c r="D163">
        <v>110.6323333</v>
      </c>
      <c r="E163">
        <v>78.638999999999996</v>
      </c>
      <c r="G163">
        <v>234.21355560000001</v>
      </c>
      <c r="H163">
        <v>209.5913333</v>
      </c>
      <c r="J163">
        <v>4400</v>
      </c>
      <c r="K163" t="s">
        <v>84</v>
      </c>
      <c r="L163" t="s">
        <v>92</v>
      </c>
    </row>
    <row r="164" spans="1:12">
      <c r="A164" s="1">
        <v>45129</v>
      </c>
      <c r="B164" t="s">
        <v>39</v>
      </c>
      <c r="C164" t="s">
        <v>40</v>
      </c>
      <c r="D164">
        <v>4.2291111109999999</v>
      </c>
      <c r="E164">
        <v>6.7898888890000002</v>
      </c>
      <c r="G164">
        <v>7.0015555559999996</v>
      </c>
      <c r="H164">
        <v>7.1735555560000002</v>
      </c>
      <c r="J164">
        <v>26</v>
      </c>
      <c r="K164" t="s">
        <v>15</v>
      </c>
      <c r="L164" t="s">
        <v>15</v>
      </c>
    </row>
    <row r="165" spans="1:12">
      <c r="A165" s="1">
        <v>45129</v>
      </c>
      <c r="B165" t="s">
        <v>41</v>
      </c>
      <c r="C165" t="s">
        <v>42</v>
      </c>
      <c r="J165" t="s">
        <v>22</v>
      </c>
      <c r="K165" t="s">
        <v>22</v>
      </c>
      <c r="L165" t="s">
        <v>22</v>
      </c>
    </row>
    <row r="166" spans="1:12">
      <c r="A166" s="1">
        <v>45129</v>
      </c>
      <c r="B166" t="s">
        <v>43</v>
      </c>
      <c r="C166" t="s">
        <v>44</v>
      </c>
      <c r="D166">
        <v>25.888666669999999</v>
      </c>
      <c r="E166">
        <v>19.39533333</v>
      </c>
      <c r="G166">
        <v>14.74477778</v>
      </c>
      <c r="H166">
        <v>12.637</v>
      </c>
      <c r="J166">
        <v>339</v>
      </c>
      <c r="K166" t="s">
        <v>84</v>
      </c>
      <c r="L166" t="s">
        <v>92</v>
      </c>
    </row>
    <row r="167" spans="1:12">
      <c r="A167" s="1">
        <v>45129</v>
      </c>
      <c r="B167" t="s">
        <v>45</v>
      </c>
      <c r="C167" t="s">
        <v>46</v>
      </c>
      <c r="D167">
        <v>19.21011111</v>
      </c>
      <c r="E167">
        <v>10.96233333</v>
      </c>
      <c r="G167">
        <v>15.595111109999999</v>
      </c>
      <c r="H167">
        <v>12.192888890000001</v>
      </c>
      <c r="J167">
        <v>267</v>
      </c>
      <c r="K167" t="s">
        <v>84</v>
      </c>
      <c r="L167" t="s">
        <v>106</v>
      </c>
    </row>
    <row r="168" spans="1:12">
      <c r="A168" s="1">
        <v>45129</v>
      </c>
      <c r="B168" t="s">
        <v>48</v>
      </c>
      <c r="C168" t="s">
        <v>49</v>
      </c>
      <c r="D168">
        <v>18.610555560000002</v>
      </c>
      <c r="E168">
        <v>7.9509999999999996</v>
      </c>
      <c r="F168">
        <v>594.63166669999998</v>
      </c>
      <c r="G168">
        <v>12.95744444</v>
      </c>
      <c r="H168">
        <v>14.57411111</v>
      </c>
      <c r="I168">
        <v>56.836333330000002</v>
      </c>
      <c r="J168">
        <v>97</v>
      </c>
      <c r="K168" t="s">
        <v>84</v>
      </c>
      <c r="L168" t="s">
        <v>107</v>
      </c>
    </row>
    <row r="169" spans="1:12">
      <c r="A169" s="1">
        <v>45129</v>
      </c>
      <c r="B169" t="s">
        <v>50</v>
      </c>
      <c r="C169" t="s">
        <v>51</v>
      </c>
      <c r="D169">
        <v>8.4724444440000006</v>
      </c>
      <c r="E169">
        <v>8.8858888890000003</v>
      </c>
      <c r="G169">
        <v>29.281333329999999</v>
      </c>
      <c r="H169">
        <v>15.70911111</v>
      </c>
      <c r="J169">
        <v>974</v>
      </c>
      <c r="K169" t="s">
        <v>15</v>
      </c>
      <c r="L169" t="s">
        <v>15</v>
      </c>
    </row>
    <row r="170" spans="1:12">
      <c r="A170" s="1">
        <v>45129</v>
      </c>
      <c r="B170" t="s">
        <v>53</v>
      </c>
      <c r="C170" t="s">
        <v>54</v>
      </c>
      <c r="D170">
        <v>45.327777779999998</v>
      </c>
      <c r="E170">
        <v>28.676666669999999</v>
      </c>
      <c r="G170">
        <v>16.140555559999999</v>
      </c>
      <c r="H170">
        <v>13.30277778</v>
      </c>
      <c r="J170">
        <v>782</v>
      </c>
      <c r="K170" t="s">
        <v>96</v>
      </c>
      <c r="L170" t="s">
        <v>108</v>
      </c>
    </row>
    <row r="171" spans="1:12">
      <c r="A171" s="1">
        <v>45129</v>
      </c>
      <c r="B171" t="s">
        <v>56</v>
      </c>
      <c r="C171" t="s">
        <v>57</v>
      </c>
      <c r="D171">
        <v>8.1414444439999993</v>
      </c>
      <c r="E171">
        <v>8.0563333329999995</v>
      </c>
      <c r="F171">
        <v>49.059666669999999</v>
      </c>
      <c r="G171">
        <v>18.632777780000001</v>
      </c>
      <c r="H171">
        <v>20.072777779999999</v>
      </c>
      <c r="I171">
        <v>47.435000000000002</v>
      </c>
      <c r="J171">
        <v>77</v>
      </c>
      <c r="K171" t="s">
        <v>15</v>
      </c>
      <c r="L171" t="s">
        <v>15</v>
      </c>
    </row>
    <row r="172" spans="1:12">
      <c r="A172" s="1">
        <v>45129</v>
      </c>
      <c r="B172" t="s">
        <v>59</v>
      </c>
      <c r="C172" t="s">
        <v>60</v>
      </c>
      <c r="D172">
        <v>24.251666669999999</v>
      </c>
      <c r="E172">
        <v>12.21277778</v>
      </c>
      <c r="G172">
        <v>15.43377778</v>
      </c>
      <c r="H172">
        <v>11.25933333</v>
      </c>
      <c r="J172">
        <v>291</v>
      </c>
      <c r="K172" t="s">
        <v>84</v>
      </c>
      <c r="L172" t="s">
        <v>109</v>
      </c>
    </row>
    <row r="173" spans="1:12">
      <c r="A173" s="1">
        <v>45129</v>
      </c>
      <c r="B173" t="s">
        <v>61</v>
      </c>
      <c r="C173" t="s">
        <v>62</v>
      </c>
      <c r="D173">
        <v>13.97433333</v>
      </c>
      <c r="E173">
        <v>7.2176666669999996</v>
      </c>
      <c r="G173">
        <v>14.484666669999999</v>
      </c>
      <c r="H173">
        <v>13.094666670000001</v>
      </c>
      <c r="J173">
        <v>138</v>
      </c>
      <c r="K173" t="s">
        <v>15</v>
      </c>
      <c r="L173" t="s">
        <v>15</v>
      </c>
    </row>
    <row r="174" spans="1:12">
      <c r="A174" s="1">
        <v>45129</v>
      </c>
      <c r="B174" t="s">
        <v>63</v>
      </c>
      <c r="C174" t="s">
        <v>64</v>
      </c>
      <c r="D174">
        <v>37.248333330000001</v>
      </c>
      <c r="E174">
        <v>20.333888890000001</v>
      </c>
      <c r="G174">
        <v>100.27366670000001</v>
      </c>
      <c r="H174">
        <v>54.561444440000002</v>
      </c>
      <c r="J174">
        <v>821</v>
      </c>
      <c r="K174" t="s">
        <v>84</v>
      </c>
      <c r="L174" t="s">
        <v>55</v>
      </c>
    </row>
    <row r="175" spans="1:12">
      <c r="A175" s="1">
        <v>45129</v>
      </c>
      <c r="B175" t="s">
        <v>66</v>
      </c>
      <c r="C175" t="s">
        <v>67</v>
      </c>
      <c r="D175">
        <v>7.0425555559999999</v>
      </c>
      <c r="E175">
        <v>8.6703333330000003</v>
      </c>
      <c r="G175">
        <v>15.15455556</v>
      </c>
      <c r="H175">
        <v>15.60122222</v>
      </c>
      <c r="J175">
        <v>46</v>
      </c>
      <c r="K175" t="s">
        <v>18</v>
      </c>
      <c r="L175" t="s">
        <v>97</v>
      </c>
    </row>
    <row r="176" spans="1:12">
      <c r="A176" s="1">
        <v>45129</v>
      </c>
      <c r="B176" t="s">
        <v>68</v>
      </c>
      <c r="C176" t="s">
        <v>69</v>
      </c>
      <c r="D176">
        <v>6.740777778</v>
      </c>
      <c r="E176">
        <v>8.1288888890000006</v>
      </c>
      <c r="G176">
        <v>24.169888889999999</v>
      </c>
      <c r="H176">
        <v>28.79211111</v>
      </c>
      <c r="J176">
        <v>86</v>
      </c>
      <c r="K176" t="s">
        <v>15</v>
      </c>
      <c r="L176" t="s">
        <v>15</v>
      </c>
    </row>
    <row r="177" spans="1:13">
      <c r="A177" s="1">
        <v>45129</v>
      </c>
      <c r="B177" t="s">
        <v>70</v>
      </c>
      <c r="C177" t="s">
        <v>71</v>
      </c>
      <c r="D177">
        <v>14.487555560000001</v>
      </c>
      <c r="E177">
        <v>13.35311111</v>
      </c>
      <c r="G177">
        <v>25.466777780000001</v>
      </c>
      <c r="H177">
        <v>17.180111109999999</v>
      </c>
      <c r="J177">
        <v>68</v>
      </c>
      <c r="K177" t="s">
        <v>18</v>
      </c>
      <c r="L177" t="s">
        <v>110</v>
      </c>
    </row>
    <row r="178" spans="1:13">
      <c r="A178" s="1">
        <v>45129</v>
      </c>
      <c r="B178" t="s">
        <v>72</v>
      </c>
      <c r="C178" t="s">
        <v>73</v>
      </c>
      <c r="D178">
        <v>16.133888890000001</v>
      </c>
      <c r="E178">
        <v>10.56722222</v>
      </c>
      <c r="G178">
        <v>39.072888890000002</v>
      </c>
      <c r="H178">
        <v>23.749555560000001</v>
      </c>
      <c r="J178">
        <v>347</v>
      </c>
      <c r="K178" t="s">
        <v>18</v>
      </c>
      <c r="L178" t="s">
        <v>110</v>
      </c>
    </row>
    <row r="179" spans="1:13">
      <c r="A179" s="1">
        <v>45129</v>
      </c>
      <c r="B179" t="s">
        <v>74</v>
      </c>
      <c r="C179" t="s">
        <v>75</v>
      </c>
      <c r="D179">
        <v>12.53388889</v>
      </c>
      <c r="E179">
        <v>9.6549999999999994</v>
      </c>
      <c r="F179">
        <v>519.32166670000004</v>
      </c>
      <c r="G179">
        <v>18.19311111</v>
      </c>
      <c r="H179">
        <v>12.264222220000001</v>
      </c>
      <c r="I179">
        <v>53.542000000000002</v>
      </c>
      <c r="J179">
        <v>262</v>
      </c>
      <c r="K179" t="s">
        <v>18</v>
      </c>
      <c r="L179" t="s">
        <v>65</v>
      </c>
    </row>
    <row r="180" spans="1:13">
      <c r="A180" s="1">
        <v>45129</v>
      </c>
      <c r="B180" t="s">
        <v>77</v>
      </c>
      <c r="C180" t="s">
        <v>78</v>
      </c>
      <c r="D180">
        <v>18.24211111</v>
      </c>
      <c r="E180">
        <v>14.22766667</v>
      </c>
      <c r="G180">
        <v>29.170999999999999</v>
      </c>
      <c r="H180">
        <v>18.758777779999999</v>
      </c>
      <c r="J180">
        <v>440</v>
      </c>
      <c r="K180" t="s">
        <v>111</v>
      </c>
      <c r="L180" t="s">
        <v>112</v>
      </c>
      <c r="M180" t="s">
        <v>113</v>
      </c>
    </row>
    <row r="181" spans="1:13">
      <c r="A181" s="1">
        <v>45129</v>
      </c>
      <c r="B181" t="s">
        <v>79</v>
      </c>
      <c r="C181" t="s">
        <v>80</v>
      </c>
      <c r="D181">
        <v>7.5891111110000002</v>
      </c>
      <c r="E181">
        <v>4.6235555560000003</v>
      </c>
      <c r="G181">
        <v>11.87655556</v>
      </c>
      <c r="H181">
        <v>10.587222219999999</v>
      </c>
      <c r="J181">
        <v>26</v>
      </c>
      <c r="K181" t="s">
        <v>111</v>
      </c>
      <c r="L181" t="s">
        <v>65</v>
      </c>
    </row>
    <row r="182" spans="1:13">
      <c r="A182" s="1">
        <v>45129</v>
      </c>
      <c r="B182" t="s">
        <v>81</v>
      </c>
      <c r="C182" t="s">
        <v>82</v>
      </c>
      <c r="D182">
        <v>6.1622222219999996</v>
      </c>
      <c r="E182">
        <v>10.447777779999999</v>
      </c>
      <c r="G182">
        <v>24.803999999999998</v>
      </c>
      <c r="H182">
        <v>25.527333330000001</v>
      </c>
      <c r="J182">
        <v>16609</v>
      </c>
      <c r="K182" t="s">
        <v>95</v>
      </c>
      <c r="L182" t="s">
        <v>15</v>
      </c>
      <c r="M182" t="s">
        <v>114</v>
      </c>
    </row>
    <row r="183" spans="1:13">
      <c r="A183" s="1">
        <v>45145</v>
      </c>
      <c r="B183" t="s">
        <v>13</v>
      </c>
      <c r="C183" t="s">
        <v>14</v>
      </c>
      <c r="D183">
        <v>7.5140000000000002</v>
      </c>
      <c r="E183">
        <v>4.5734444439999997</v>
      </c>
      <c r="G183">
        <v>17.212666670000001</v>
      </c>
      <c r="H183">
        <v>15.32155556</v>
      </c>
      <c r="J183">
        <v>129.72</v>
      </c>
      <c r="K183" t="s">
        <v>15</v>
      </c>
      <c r="L183" t="s">
        <v>15</v>
      </c>
    </row>
    <row r="184" spans="1:13">
      <c r="A184" s="1">
        <v>45145</v>
      </c>
      <c r="B184" t="s">
        <v>16</v>
      </c>
      <c r="C184" t="s">
        <v>17</v>
      </c>
      <c r="D184">
        <v>255.44922220000001</v>
      </c>
      <c r="E184">
        <v>214.99922219999999</v>
      </c>
      <c r="G184">
        <v>95.340222220000001</v>
      </c>
      <c r="H184">
        <v>84.031333329999995</v>
      </c>
      <c r="J184">
        <v>170.53</v>
      </c>
      <c r="K184" t="s">
        <v>84</v>
      </c>
      <c r="L184" t="s">
        <v>107</v>
      </c>
    </row>
    <row r="185" spans="1:13">
      <c r="A185" s="1">
        <v>45145</v>
      </c>
      <c r="B185" t="s">
        <v>20</v>
      </c>
      <c r="C185" t="s">
        <v>21</v>
      </c>
      <c r="J185" t="s">
        <v>22</v>
      </c>
      <c r="K185" t="s">
        <v>22</v>
      </c>
      <c r="L185" t="s">
        <v>22</v>
      </c>
    </row>
    <row r="186" spans="1:13">
      <c r="A186" s="1">
        <v>45145</v>
      </c>
      <c r="B186" t="s">
        <v>23</v>
      </c>
      <c r="C186" t="s">
        <v>24</v>
      </c>
      <c r="D186">
        <v>17.644666669999999</v>
      </c>
      <c r="E186">
        <v>13.05244444</v>
      </c>
      <c r="G186">
        <v>39.818111109999997</v>
      </c>
      <c r="H186">
        <v>18.378111109999999</v>
      </c>
      <c r="J186">
        <v>305.51</v>
      </c>
      <c r="K186" t="s">
        <v>84</v>
      </c>
      <c r="L186" t="s">
        <v>86</v>
      </c>
    </row>
    <row r="187" spans="1:13">
      <c r="A187" s="1">
        <v>45145</v>
      </c>
      <c r="B187" t="s">
        <v>25</v>
      </c>
      <c r="C187" t="s">
        <v>26</v>
      </c>
      <c r="D187">
        <v>7.375666667</v>
      </c>
      <c r="E187">
        <v>6.3778888890000003</v>
      </c>
      <c r="G187">
        <v>18.890666670000002</v>
      </c>
      <c r="H187">
        <v>17.250666670000001</v>
      </c>
      <c r="J187">
        <v>104.29</v>
      </c>
      <c r="K187" t="s">
        <v>15</v>
      </c>
      <c r="L187" t="s">
        <v>15</v>
      </c>
    </row>
    <row r="188" spans="1:13">
      <c r="A188" s="1">
        <v>45145</v>
      </c>
      <c r="B188" t="s">
        <v>27</v>
      </c>
      <c r="C188" t="s">
        <v>28</v>
      </c>
      <c r="D188">
        <v>20.659444440000001</v>
      </c>
      <c r="E188">
        <v>23.695</v>
      </c>
      <c r="G188">
        <v>52.544555559999999</v>
      </c>
      <c r="H188">
        <v>52.082333329999997</v>
      </c>
      <c r="J188">
        <v>407.98</v>
      </c>
      <c r="K188" t="s">
        <v>15</v>
      </c>
      <c r="L188" t="s">
        <v>15</v>
      </c>
    </row>
    <row r="189" spans="1:13">
      <c r="A189" s="1">
        <v>45145</v>
      </c>
      <c r="B189" t="s">
        <v>29</v>
      </c>
      <c r="C189" t="s">
        <v>30</v>
      </c>
      <c r="J189" t="s">
        <v>22</v>
      </c>
      <c r="K189" t="s">
        <v>22</v>
      </c>
      <c r="L189" t="s">
        <v>22</v>
      </c>
    </row>
    <row r="190" spans="1:13">
      <c r="A190" s="1">
        <v>45145</v>
      </c>
      <c r="B190" t="s">
        <v>31</v>
      </c>
      <c r="C190" t="s">
        <v>32</v>
      </c>
      <c r="J190" t="s">
        <v>22</v>
      </c>
      <c r="K190" t="s">
        <v>22</v>
      </c>
      <c r="L190" t="s">
        <v>22</v>
      </c>
    </row>
    <row r="191" spans="1:13">
      <c r="A191" s="1">
        <v>45145</v>
      </c>
      <c r="B191" t="s">
        <v>33</v>
      </c>
      <c r="C191" t="s">
        <v>34</v>
      </c>
      <c r="D191">
        <v>3.2421111109999998</v>
      </c>
      <c r="E191">
        <v>7.6675555559999999</v>
      </c>
      <c r="G191">
        <v>9.1345555560000005</v>
      </c>
      <c r="H191">
        <v>9.7581111109999998</v>
      </c>
      <c r="J191">
        <v>202.52</v>
      </c>
      <c r="K191" t="s">
        <v>18</v>
      </c>
      <c r="L191" t="s">
        <v>65</v>
      </c>
    </row>
    <row r="192" spans="1:13">
      <c r="A192" s="1">
        <v>45145</v>
      </c>
      <c r="B192" t="s">
        <v>35</v>
      </c>
      <c r="C192" t="s">
        <v>36</v>
      </c>
      <c r="D192">
        <v>24.25822222</v>
      </c>
      <c r="E192">
        <v>15.36044444</v>
      </c>
      <c r="G192">
        <v>128.1045556</v>
      </c>
      <c r="H192">
        <v>83.770111110000002</v>
      </c>
      <c r="J192">
        <v>29.41</v>
      </c>
      <c r="K192" t="s">
        <v>15</v>
      </c>
      <c r="L192" t="s">
        <v>15</v>
      </c>
      <c r="M192" t="s">
        <v>115</v>
      </c>
    </row>
    <row r="193" spans="1:12">
      <c r="A193" s="1">
        <v>45145</v>
      </c>
      <c r="B193" t="s">
        <v>37</v>
      </c>
      <c r="C193" t="s">
        <v>38</v>
      </c>
      <c r="J193" t="s">
        <v>22</v>
      </c>
      <c r="K193" t="s">
        <v>22</v>
      </c>
      <c r="L193" t="s">
        <v>22</v>
      </c>
    </row>
    <row r="194" spans="1:12">
      <c r="A194" s="1">
        <v>45145</v>
      </c>
      <c r="B194" t="s">
        <v>39</v>
      </c>
      <c r="C194" t="s">
        <v>40</v>
      </c>
      <c r="D194">
        <v>12.15755556</v>
      </c>
      <c r="E194">
        <v>6.1511111109999996</v>
      </c>
      <c r="G194">
        <v>13.03933333</v>
      </c>
      <c r="H194">
        <v>11.445888890000001</v>
      </c>
      <c r="J194">
        <v>49.22</v>
      </c>
      <c r="K194" t="s">
        <v>15</v>
      </c>
      <c r="L194" t="s">
        <v>15</v>
      </c>
    </row>
    <row r="195" spans="1:12">
      <c r="A195" s="1">
        <v>45145</v>
      </c>
      <c r="B195" t="s">
        <v>41</v>
      </c>
      <c r="C195" t="s">
        <v>42</v>
      </c>
      <c r="J195" t="s">
        <v>22</v>
      </c>
      <c r="K195" t="s">
        <v>22</v>
      </c>
      <c r="L195" t="s">
        <v>22</v>
      </c>
    </row>
    <row r="196" spans="1:12">
      <c r="A196" s="1">
        <v>45145</v>
      </c>
      <c r="B196" t="s">
        <v>43</v>
      </c>
      <c r="C196" t="s">
        <v>44</v>
      </c>
      <c r="D196">
        <v>32.083111109999997</v>
      </c>
      <c r="E196">
        <v>22.068666669999999</v>
      </c>
      <c r="G196">
        <v>23.893555559999999</v>
      </c>
      <c r="H196">
        <v>16.771333330000001</v>
      </c>
      <c r="J196">
        <v>367.18</v>
      </c>
      <c r="K196" t="s">
        <v>96</v>
      </c>
      <c r="L196" t="s">
        <v>116</v>
      </c>
    </row>
    <row r="197" spans="1:12">
      <c r="A197" s="1">
        <v>45145</v>
      </c>
      <c r="B197" t="s">
        <v>45</v>
      </c>
      <c r="C197" t="s">
        <v>46</v>
      </c>
      <c r="D197">
        <v>55.821333330000002</v>
      </c>
      <c r="E197">
        <v>22.85688889</v>
      </c>
      <c r="G197">
        <v>22.907555559999999</v>
      </c>
      <c r="H197">
        <v>16.07755556</v>
      </c>
      <c r="J197">
        <v>651.41999999999996</v>
      </c>
      <c r="K197" t="s">
        <v>96</v>
      </c>
      <c r="L197" t="s">
        <v>117</v>
      </c>
    </row>
    <row r="198" spans="1:12">
      <c r="A198" s="1">
        <v>45145</v>
      </c>
      <c r="B198" t="s">
        <v>48</v>
      </c>
      <c r="C198" t="s">
        <v>49</v>
      </c>
      <c r="D198">
        <v>43.014444439999998</v>
      </c>
      <c r="E198">
        <v>13.107777779999999</v>
      </c>
      <c r="G198">
        <v>24.55011111</v>
      </c>
      <c r="H198">
        <v>15.54122222</v>
      </c>
      <c r="J198">
        <v>210.74</v>
      </c>
      <c r="K198" t="s">
        <v>84</v>
      </c>
      <c r="L198" t="s">
        <v>118</v>
      </c>
    </row>
    <row r="199" spans="1:12">
      <c r="A199" s="1">
        <v>45145</v>
      </c>
      <c r="B199" t="s">
        <v>50</v>
      </c>
      <c r="C199" t="s">
        <v>51</v>
      </c>
      <c r="D199">
        <v>32.745111110000003</v>
      </c>
      <c r="E199">
        <v>25.166222220000002</v>
      </c>
      <c r="G199">
        <v>43.270111110000002</v>
      </c>
      <c r="H199">
        <v>36.55344444</v>
      </c>
      <c r="J199">
        <v>572.89</v>
      </c>
      <c r="K199" t="s">
        <v>15</v>
      </c>
      <c r="L199" t="s">
        <v>15</v>
      </c>
    </row>
    <row r="200" spans="1:12">
      <c r="A200" s="1">
        <v>45145</v>
      </c>
      <c r="B200" t="s">
        <v>53</v>
      </c>
      <c r="C200" t="s">
        <v>54</v>
      </c>
      <c r="D200">
        <v>53.14911111</v>
      </c>
      <c r="E200">
        <v>21.271333330000001</v>
      </c>
      <c r="G200">
        <v>13.163888890000001</v>
      </c>
      <c r="H200">
        <v>10.390777780000001</v>
      </c>
      <c r="J200">
        <v>492</v>
      </c>
      <c r="K200" t="s">
        <v>96</v>
      </c>
      <c r="L200" t="s">
        <v>119</v>
      </c>
    </row>
    <row r="201" spans="1:12">
      <c r="A201" s="1">
        <v>45145</v>
      </c>
      <c r="B201" t="s">
        <v>56</v>
      </c>
      <c r="C201" t="s">
        <v>57</v>
      </c>
      <c r="D201">
        <v>6.763555556</v>
      </c>
      <c r="E201">
        <v>3.054444444</v>
      </c>
      <c r="G201">
        <v>24.392666670000001</v>
      </c>
      <c r="H201">
        <v>15.956</v>
      </c>
      <c r="J201">
        <v>247.99</v>
      </c>
      <c r="K201" t="s">
        <v>18</v>
      </c>
      <c r="L201" t="s">
        <v>65</v>
      </c>
    </row>
    <row r="202" spans="1:12">
      <c r="A202" s="1">
        <v>45145</v>
      </c>
      <c r="B202" t="s">
        <v>59</v>
      </c>
      <c r="C202" t="s">
        <v>60</v>
      </c>
      <c r="D202">
        <v>24.94311111</v>
      </c>
      <c r="E202">
        <v>16.200888890000002</v>
      </c>
      <c r="G202">
        <v>19.862111110000001</v>
      </c>
      <c r="H202">
        <v>15.916555560000001</v>
      </c>
      <c r="J202">
        <v>261.97000000000003</v>
      </c>
      <c r="K202" t="s">
        <v>84</v>
      </c>
      <c r="L202" t="s">
        <v>120</v>
      </c>
    </row>
    <row r="203" spans="1:12">
      <c r="A203" s="1">
        <v>45145</v>
      </c>
      <c r="B203" t="s">
        <v>61</v>
      </c>
      <c r="C203" t="s">
        <v>62</v>
      </c>
      <c r="J203" t="s">
        <v>22</v>
      </c>
      <c r="K203" t="s">
        <v>22</v>
      </c>
      <c r="L203" t="s">
        <v>22</v>
      </c>
    </row>
    <row r="204" spans="1:12">
      <c r="A204" s="1">
        <v>45145</v>
      </c>
      <c r="B204" t="s">
        <v>63</v>
      </c>
      <c r="C204" t="s">
        <v>64</v>
      </c>
      <c r="D204">
        <v>179.0227778</v>
      </c>
      <c r="E204">
        <v>112.94499999999999</v>
      </c>
      <c r="G204">
        <v>79.321555559999993</v>
      </c>
      <c r="H204">
        <v>71.344888889999993</v>
      </c>
      <c r="J204">
        <v>210.73</v>
      </c>
      <c r="K204" t="s">
        <v>84</v>
      </c>
      <c r="L204" t="s">
        <v>97</v>
      </c>
    </row>
    <row r="205" spans="1:12">
      <c r="A205" s="1">
        <v>45145</v>
      </c>
      <c r="B205" t="s">
        <v>66</v>
      </c>
      <c r="C205" t="s">
        <v>67</v>
      </c>
      <c r="D205">
        <v>35.618000000000002</v>
      </c>
      <c r="E205">
        <v>8.7202222220000003</v>
      </c>
      <c r="G205">
        <v>30.725777780000001</v>
      </c>
      <c r="H205">
        <v>13.42355556</v>
      </c>
      <c r="J205">
        <v>42.44</v>
      </c>
      <c r="K205" t="s">
        <v>18</v>
      </c>
      <c r="L205" t="s">
        <v>65</v>
      </c>
    </row>
    <row r="206" spans="1:12">
      <c r="A206" s="1">
        <v>45145</v>
      </c>
      <c r="B206" t="s">
        <v>68</v>
      </c>
      <c r="C206" t="s">
        <v>69</v>
      </c>
      <c r="D206">
        <v>13.97588889</v>
      </c>
      <c r="E206">
        <v>10.40033333</v>
      </c>
      <c r="G206">
        <v>32.29366667</v>
      </c>
      <c r="H206">
        <v>35.173666670000003</v>
      </c>
      <c r="J206">
        <v>110.67</v>
      </c>
      <c r="K206" t="s">
        <v>18</v>
      </c>
      <c r="L206" t="s">
        <v>55</v>
      </c>
    </row>
    <row r="207" spans="1:12">
      <c r="A207" s="1">
        <v>45145</v>
      </c>
      <c r="B207" t="s">
        <v>70</v>
      </c>
      <c r="C207" t="s">
        <v>71</v>
      </c>
      <c r="D207">
        <v>14.30322222</v>
      </c>
      <c r="E207">
        <v>12.801</v>
      </c>
      <c r="G207">
        <v>50.593888890000002</v>
      </c>
      <c r="H207">
        <v>22.71611111</v>
      </c>
      <c r="J207">
        <v>83.36</v>
      </c>
      <c r="K207" t="s">
        <v>15</v>
      </c>
      <c r="L207" t="s">
        <v>15</v>
      </c>
    </row>
    <row r="208" spans="1:12">
      <c r="A208" s="1">
        <v>45145</v>
      </c>
      <c r="B208" t="s">
        <v>72</v>
      </c>
      <c r="C208" t="s">
        <v>73</v>
      </c>
      <c r="D208">
        <v>14.923444440000001</v>
      </c>
      <c r="E208">
        <v>8.9406666670000003</v>
      </c>
      <c r="G208">
        <v>75.890444439999996</v>
      </c>
      <c r="H208">
        <v>13.97766667</v>
      </c>
      <c r="J208">
        <v>1300.92</v>
      </c>
      <c r="K208" t="s">
        <v>18</v>
      </c>
      <c r="L208" t="s">
        <v>110</v>
      </c>
    </row>
    <row r="209" spans="1:13">
      <c r="A209" s="1">
        <v>45145</v>
      </c>
      <c r="B209" t="s">
        <v>74</v>
      </c>
      <c r="C209" t="s">
        <v>75</v>
      </c>
      <c r="J209" t="s">
        <v>22</v>
      </c>
      <c r="K209" t="s">
        <v>22</v>
      </c>
      <c r="L209" t="s">
        <v>22</v>
      </c>
    </row>
    <row r="210" spans="1:13">
      <c r="A210" s="1">
        <v>45145</v>
      </c>
      <c r="B210" t="s">
        <v>77</v>
      </c>
      <c r="C210" t="s">
        <v>78</v>
      </c>
      <c r="D210">
        <v>16.04066667</v>
      </c>
      <c r="E210">
        <v>6.0083333330000004</v>
      </c>
      <c r="G210">
        <v>92.667333330000005</v>
      </c>
      <c r="H210">
        <v>11.951111109999999</v>
      </c>
      <c r="J210">
        <v>1232.69</v>
      </c>
      <c r="K210" t="s">
        <v>18</v>
      </c>
      <c r="L210" t="s">
        <v>121</v>
      </c>
      <c r="M210" t="s">
        <v>113</v>
      </c>
    </row>
    <row r="211" spans="1:13">
      <c r="A211" s="1">
        <v>45145</v>
      </c>
      <c r="B211" t="s">
        <v>79</v>
      </c>
      <c r="C211" t="s">
        <v>80</v>
      </c>
      <c r="D211">
        <v>5.5292222219999996</v>
      </c>
      <c r="E211">
        <v>4.1037777780000004</v>
      </c>
      <c r="G211">
        <v>10.58633333</v>
      </c>
      <c r="H211">
        <v>8.7948888889999992</v>
      </c>
      <c r="J211">
        <v>906.02</v>
      </c>
      <c r="K211" t="s">
        <v>18</v>
      </c>
      <c r="L211" t="s">
        <v>65</v>
      </c>
    </row>
    <row r="212" spans="1:13">
      <c r="A212" s="1">
        <v>45145</v>
      </c>
      <c r="B212" t="s">
        <v>81</v>
      </c>
      <c r="C212" t="s">
        <v>82</v>
      </c>
      <c r="D212">
        <v>29.369888889999999</v>
      </c>
      <c r="E212">
        <v>23.909888890000001</v>
      </c>
      <c r="G212">
        <v>148.2077778</v>
      </c>
      <c r="H212">
        <v>119.4633333</v>
      </c>
      <c r="J212">
        <v>141.24</v>
      </c>
      <c r="K212" t="s">
        <v>15</v>
      </c>
      <c r="L212" t="s">
        <v>15</v>
      </c>
      <c r="M212" t="s">
        <v>114</v>
      </c>
    </row>
    <row r="213" spans="1:13">
      <c r="A213" s="1">
        <v>45157</v>
      </c>
      <c r="B213" t="s">
        <v>13</v>
      </c>
      <c r="C213" t="s">
        <v>14</v>
      </c>
      <c r="D213">
        <v>5.336222222</v>
      </c>
      <c r="E213">
        <v>8.8878888889999992</v>
      </c>
      <c r="G213">
        <v>9.3532222219999994</v>
      </c>
      <c r="H213">
        <v>7.4013333330000002</v>
      </c>
      <c r="J213">
        <v>9.57</v>
      </c>
      <c r="K213" t="s">
        <v>15</v>
      </c>
      <c r="L213" t="s">
        <v>15</v>
      </c>
    </row>
    <row r="214" spans="1:13">
      <c r="A214" s="1">
        <v>45157</v>
      </c>
      <c r="B214" t="s">
        <v>16</v>
      </c>
      <c r="C214" t="s">
        <v>17</v>
      </c>
      <c r="D214">
        <v>108.21899999999999</v>
      </c>
      <c r="E214">
        <v>69.039000000000001</v>
      </c>
      <c r="G214">
        <v>98.745000000000005</v>
      </c>
      <c r="H214">
        <v>94.298333330000006</v>
      </c>
      <c r="J214">
        <v>608.49</v>
      </c>
      <c r="K214" t="s">
        <v>96</v>
      </c>
      <c r="L214" t="s">
        <v>122</v>
      </c>
    </row>
    <row r="215" spans="1:13">
      <c r="A215" s="1">
        <v>45157</v>
      </c>
      <c r="B215" t="s">
        <v>20</v>
      </c>
      <c r="C215" t="s">
        <v>21</v>
      </c>
      <c r="J215" t="s">
        <v>22</v>
      </c>
      <c r="K215" t="s">
        <v>22</v>
      </c>
      <c r="L215" t="s">
        <v>22</v>
      </c>
    </row>
    <row r="216" spans="1:13">
      <c r="A216" s="1">
        <v>45157</v>
      </c>
      <c r="B216" t="s">
        <v>23</v>
      </c>
      <c r="C216" t="s">
        <v>24</v>
      </c>
      <c r="D216">
        <v>22.40066667</v>
      </c>
      <c r="E216">
        <v>14.754</v>
      </c>
      <c r="G216">
        <v>24.55233333</v>
      </c>
      <c r="H216">
        <v>23.020111109999998</v>
      </c>
      <c r="J216">
        <v>0</v>
      </c>
      <c r="K216" t="s">
        <v>22</v>
      </c>
      <c r="L216">
        <v>0</v>
      </c>
    </row>
    <row r="217" spans="1:13">
      <c r="A217" s="1">
        <v>45157</v>
      </c>
      <c r="B217" t="s">
        <v>25</v>
      </c>
      <c r="C217" t="s">
        <v>26</v>
      </c>
      <c r="D217">
        <v>12.112555560000001</v>
      </c>
      <c r="E217">
        <v>12.038111109999999</v>
      </c>
      <c r="G217">
        <v>18.730222220000002</v>
      </c>
      <c r="H217">
        <v>21.065777780000001</v>
      </c>
      <c r="J217">
        <v>36.659999999999997</v>
      </c>
      <c r="K217" t="s">
        <v>15</v>
      </c>
      <c r="L217" t="s">
        <v>15</v>
      </c>
    </row>
    <row r="218" spans="1:13">
      <c r="A218" s="1">
        <v>45157</v>
      </c>
      <c r="B218" t="s">
        <v>27</v>
      </c>
      <c r="C218" t="s">
        <v>28</v>
      </c>
      <c r="J218" t="s">
        <v>22</v>
      </c>
      <c r="K218" t="s">
        <v>22</v>
      </c>
      <c r="L218" t="s">
        <v>22</v>
      </c>
    </row>
    <row r="219" spans="1:13">
      <c r="A219" s="1">
        <v>45157</v>
      </c>
      <c r="B219" t="s">
        <v>29</v>
      </c>
      <c r="C219" t="s">
        <v>30</v>
      </c>
      <c r="J219" t="s">
        <v>22</v>
      </c>
      <c r="K219" t="s">
        <v>22</v>
      </c>
      <c r="L219" t="s">
        <v>22</v>
      </c>
    </row>
    <row r="220" spans="1:13">
      <c r="A220" s="1">
        <v>45157</v>
      </c>
      <c r="B220" t="s">
        <v>31</v>
      </c>
      <c r="C220" t="s">
        <v>32</v>
      </c>
      <c r="J220" t="s">
        <v>22</v>
      </c>
      <c r="K220" t="s">
        <v>22</v>
      </c>
      <c r="L220" t="s">
        <v>22</v>
      </c>
    </row>
    <row r="221" spans="1:13">
      <c r="A221" s="1">
        <v>45157</v>
      </c>
      <c r="B221" t="s">
        <v>33</v>
      </c>
      <c r="C221" t="s">
        <v>34</v>
      </c>
      <c r="J221" t="s">
        <v>22</v>
      </c>
      <c r="K221" t="s">
        <v>22</v>
      </c>
      <c r="L221" t="s">
        <v>22</v>
      </c>
    </row>
    <row r="222" spans="1:13">
      <c r="A222" s="1">
        <v>45157</v>
      </c>
      <c r="B222" t="s">
        <v>35</v>
      </c>
      <c r="C222" t="s">
        <v>36</v>
      </c>
      <c r="D222">
        <v>11.84455556</v>
      </c>
      <c r="E222">
        <v>10.98344444</v>
      </c>
      <c r="G222">
        <v>25.065000000000001</v>
      </c>
      <c r="H222">
        <v>22.498333330000001</v>
      </c>
      <c r="J222">
        <v>307.81</v>
      </c>
      <c r="K222" t="s">
        <v>18</v>
      </c>
      <c r="L222" t="s">
        <v>65</v>
      </c>
    </row>
    <row r="223" spans="1:13">
      <c r="A223" s="1">
        <v>45157</v>
      </c>
      <c r="B223" t="s">
        <v>37</v>
      </c>
      <c r="C223" t="s">
        <v>38</v>
      </c>
      <c r="D223">
        <v>316.74177780000002</v>
      </c>
      <c r="E223">
        <v>233.4473333</v>
      </c>
      <c r="G223">
        <v>334.03988889999999</v>
      </c>
      <c r="H223">
        <v>292.25099999999998</v>
      </c>
      <c r="J223">
        <v>4346.2700000000004</v>
      </c>
      <c r="K223" t="s">
        <v>84</v>
      </c>
      <c r="L223" t="s">
        <v>103</v>
      </c>
    </row>
    <row r="224" spans="1:13">
      <c r="A224" s="1">
        <v>45157</v>
      </c>
      <c r="B224" t="s">
        <v>39</v>
      </c>
      <c r="C224" t="s">
        <v>40</v>
      </c>
      <c r="D224">
        <v>11.06133333</v>
      </c>
      <c r="E224">
        <v>10.538</v>
      </c>
      <c r="G224">
        <v>7.559111111</v>
      </c>
      <c r="H224">
        <v>6.874333333</v>
      </c>
      <c r="J224">
        <v>41.53</v>
      </c>
      <c r="K224" t="s">
        <v>18</v>
      </c>
      <c r="L224" t="s">
        <v>65</v>
      </c>
    </row>
    <row r="225" spans="1:12">
      <c r="A225" s="1">
        <v>45157</v>
      </c>
      <c r="B225" t="s">
        <v>41</v>
      </c>
      <c r="C225" t="s">
        <v>42</v>
      </c>
      <c r="J225" t="s">
        <v>22</v>
      </c>
      <c r="K225" t="s">
        <v>22</v>
      </c>
      <c r="L225" t="s">
        <v>22</v>
      </c>
    </row>
    <row r="226" spans="1:12">
      <c r="A226" s="1">
        <v>45157</v>
      </c>
      <c r="B226" t="s">
        <v>43</v>
      </c>
      <c r="C226" t="s">
        <v>44</v>
      </c>
      <c r="D226">
        <v>71.387444439999996</v>
      </c>
      <c r="E226">
        <v>43.891888889999997</v>
      </c>
      <c r="G226">
        <v>18.515222219999998</v>
      </c>
      <c r="H226">
        <v>12.903</v>
      </c>
      <c r="J226">
        <v>705.66</v>
      </c>
      <c r="K226" t="s">
        <v>96</v>
      </c>
      <c r="L226" t="s">
        <v>123</v>
      </c>
    </row>
    <row r="227" spans="1:12">
      <c r="A227" s="1">
        <v>45157</v>
      </c>
      <c r="B227" t="s">
        <v>45</v>
      </c>
      <c r="C227" t="s">
        <v>46</v>
      </c>
      <c r="D227">
        <v>31.306777780000001</v>
      </c>
      <c r="E227">
        <v>17.577888890000001</v>
      </c>
      <c r="G227">
        <v>21.611777780000001</v>
      </c>
      <c r="H227">
        <v>18.965111109999999</v>
      </c>
      <c r="J227">
        <v>474.72</v>
      </c>
      <c r="K227" t="s">
        <v>84</v>
      </c>
      <c r="L227" t="s">
        <v>124</v>
      </c>
    </row>
    <row r="228" spans="1:12">
      <c r="A228" s="1">
        <v>45157</v>
      </c>
      <c r="B228" t="s">
        <v>48</v>
      </c>
      <c r="C228" t="s">
        <v>49</v>
      </c>
      <c r="J228" t="s">
        <v>22</v>
      </c>
      <c r="K228" t="s">
        <v>22</v>
      </c>
      <c r="L228" t="s">
        <v>22</v>
      </c>
    </row>
    <row r="229" spans="1:12">
      <c r="A229" s="1">
        <v>45157</v>
      </c>
      <c r="B229" t="s">
        <v>50</v>
      </c>
      <c r="C229" t="s">
        <v>51</v>
      </c>
      <c r="J229" t="s">
        <v>22</v>
      </c>
      <c r="K229" t="s">
        <v>22</v>
      </c>
      <c r="L229" t="s">
        <v>22</v>
      </c>
    </row>
    <row r="230" spans="1:12">
      <c r="A230" s="1">
        <v>45157</v>
      </c>
      <c r="B230" t="s">
        <v>53</v>
      </c>
      <c r="C230" t="s">
        <v>54</v>
      </c>
      <c r="D230">
        <v>60.042333329999998</v>
      </c>
      <c r="E230">
        <v>30.816777779999999</v>
      </c>
      <c r="F230">
        <v>476.45233330000002</v>
      </c>
      <c r="G230">
        <v>15.93355556</v>
      </c>
      <c r="H230">
        <v>13.757999999999999</v>
      </c>
      <c r="I230">
        <v>48.198</v>
      </c>
      <c r="J230">
        <v>559.98</v>
      </c>
      <c r="K230" t="s">
        <v>96</v>
      </c>
      <c r="L230" t="s">
        <v>125</v>
      </c>
    </row>
    <row r="231" spans="1:12">
      <c r="A231" s="1">
        <v>45157</v>
      </c>
      <c r="B231" t="s">
        <v>56</v>
      </c>
      <c r="C231" t="s">
        <v>57</v>
      </c>
      <c r="D231">
        <v>12.19333333</v>
      </c>
      <c r="E231">
        <v>4.6044444440000003</v>
      </c>
      <c r="F231">
        <v>27.123333330000001</v>
      </c>
      <c r="G231">
        <v>24.069111110000001</v>
      </c>
      <c r="H231">
        <v>17.420222219999999</v>
      </c>
      <c r="I231">
        <v>47.978000000000002</v>
      </c>
      <c r="J231">
        <v>265.24</v>
      </c>
      <c r="K231" t="s">
        <v>18</v>
      </c>
      <c r="L231" t="s">
        <v>55</v>
      </c>
    </row>
    <row r="232" spans="1:12">
      <c r="A232" s="1">
        <v>45157</v>
      </c>
      <c r="B232" t="s">
        <v>59</v>
      </c>
      <c r="C232" t="s">
        <v>60</v>
      </c>
      <c r="D232">
        <v>14.981666669999999</v>
      </c>
      <c r="E232">
        <v>7.7794444440000001</v>
      </c>
      <c r="G232">
        <v>17.63322222</v>
      </c>
      <c r="H232">
        <v>14.246555559999999</v>
      </c>
      <c r="J232">
        <v>138.11000000000001</v>
      </c>
      <c r="K232" t="s">
        <v>84</v>
      </c>
      <c r="L232" t="s">
        <v>126</v>
      </c>
    </row>
    <row r="233" spans="1:12">
      <c r="A233" s="1">
        <v>45157</v>
      </c>
      <c r="B233" t="s">
        <v>61</v>
      </c>
      <c r="C233" t="s">
        <v>62</v>
      </c>
      <c r="D233">
        <v>5.1452222220000001</v>
      </c>
      <c r="E233">
        <v>3.0965555560000002</v>
      </c>
      <c r="G233">
        <v>11.595777780000001</v>
      </c>
      <c r="H233">
        <v>10.33244444</v>
      </c>
      <c r="J233">
        <v>24.53</v>
      </c>
      <c r="K233" t="s">
        <v>15</v>
      </c>
      <c r="L233" t="s">
        <v>15</v>
      </c>
    </row>
    <row r="234" spans="1:12">
      <c r="A234" s="1">
        <v>45157</v>
      </c>
      <c r="B234" t="s">
        <v>63</v>
      </c>
      <c r="C234" t="s">
        <v>64</v>
      </c>
      <c r="D234">
        <v>120.28211109999999</v>
      </c>
      <c r="E234">
        <v>88.625444439999995</v>
      </c>
      <c r="G234">
        <v>62.828666669999997</v>
      </c>
      <c r="H234">
        <v>58.25755556</v>
      </c>
      <c r="J234">
        <v>2570.7199999999998</v>
      </c>
      <c r="K234" t="s">
        <v>96</v>
      </c>
      <c r="L234" t="s">
        <v>127</v>
      </c>
    </row>
    <row r="235" spans="1:12">
      <c r="A235" s="1">
        <v>45157</v>
      </c>
      <c r="B235" t="s">
        <v>66</v>
      </c>
      <c r="C235" t="s">
        <v>67</v>
      </c>
      <c r="D235">
        <v>8.7895555559999998</v>
      </c>
      <c r="E235">
        <v>5.2751111110000002</v>
      </c>
      <c r="G235">
        <v>12.311222219999999</v>
      </c>
      <c r="H235">
        <v>11.810111109999999</v>
      </c>
      <c r="J235">
        <v>31.91</v>
      </c>
      <c r="K235" t="s">
        <v>18</v>
      </c>
      <c r="L235" t="s">
        <v>65</v>
      </c>
    </row>
    <row r="236" spans="1:12">
      <c r="A236" s="1">
        <v>45157</v>
      </c>
      <c r="B236" t="s">
        <v>68</v>
      </c>
      <c r="C236" t="s">
        <v>69</v>
      </c>
      <c r="D236">
        <v>7.1762222219999998</v>
      </c>
      <c r="E236">
        <v>10.39511111</v>
      </c>
      <c r="G236">
        <v>21.308</v>
      </c>
      <c r="H236">
        <v>19.38244444</v>
      </c>
      <c r="J236">
        <v>48.79</v>
      </c>
      <c r="K236" t="s">
        <v>15</v>
      </c>
      <c r="L236" t="s">
        <v>15</v>
      </c>
    </row>
    <row r="237" spans="1:12">
      <c r="A237" s="1">
        <v>45157</v>
      </c>
      <c r="B237" t="s">
        <v>70</v>
      </c>
      <c r="C237" t="s">
        <v>71</v>
      </c>
      <c r="D237">
        <v>17.625555559999999</v>
      </c>
      <c r="E237">
        <v>4.9588888889999998</v>
      </c>
      <c r="F237">
        <v>51.73</v>
      </c>
      <c r="G237">
        <v>16.41</v>
      </c>
      <c r="H237">
        <v>12.223333330000001</v>
      </c>
      <c r="I237">
        <v>58.166666669999998</v>
      </c>
      <c r="J237">
        <v>43.01</v>
      </c>
      <c r="K237" t="s">
        <v>18</v>
      </c>
      <c r="L237" t="s">
        <v>98</v>
      </c>
    </row>
    <row r="238" spans="1:12">
      <c r="A238" s="1">
        <v>45157</v>
      </c>
      <c r="B238" t="s">
        <v>72</v>
      </c>
      <c r="C238" t="s">
        <v>73</v>
      </c>
      <c r="D238">
        <v>6.9454444439999996</v>
      </c>
      <c r="E238">
        <v>6.6021111110000001</v>
      </c>
      <c r="F238">
        <v>99.941000000000003</v>
      </c>
      <c r="G238">
        <v>16.24177778</v>
      </c>
      <c r="H238">
        <v>12.67733333</v>
      </c>
      <c r="I238">
        <v>92.510666670000006</v>
      </c>
      <c r="J238">
        <v>57.8</v>
      </c>
      <c r="K238" t="s">
        <v>18</v>
      </c>
      <c r="L238" t="s">
        <v>128</v>
      </c>
    </row>
    <row r="239" spans="1:12">
      <c r="A239" s="1">
        <v>45157</v>
      </c>
      <c r="B239" t="s">
        <v>74</v>
      </c>
      <c r="C239" t="s">
        <v>75</v>
      </c>
      <c r="D239">
        <v>10.872111110000001</v>
      </c>
      <c r="E239">
        <v>5.2294444440000003</v>
      </c>
      <c r="G239">
        <v>19.418222220000001</v>
      </c>
      <c r="H239">
        <v>8.7695555560000003</v>
      </c>
      <c r="J239">
        <v>105.69</v>
      </c>
      <c r="K239" t="s">
        <v>18</v>
      </c>
      <c r="L239" t="s">
        <v>58</v>
      </c>
    </row>
    <row r="240" spans="1:12">
      <c r="A240" s="1">
        <v>45157</v>
      </c>
      <c r="B240" t="s">
        <v>77</v>
      </c>
      <c r="C240" t="s">
        <v>78</v>
      </c>
      <c r="J240" t="s">
        <v>22</v>
      </c>
      <c r="K240" t="s">
        <v>22</v>
      </c>
      <c r="L240" t="s">
        <v>22</v>
      </c>
    </row>
    <row r="241" spans="1:13">
      <c r="A241" s="1">
        <v>45157</v>
      </c>
      <c r="B241" t="s">
        <v>79</v>
      </c>
      <c r="C241" t="s">
        <v>80</v>
      </c>
      <c r="D241">
        <v>7.058555556</v>
      </c>
      <c r="E241">
        <v>1.147777778</v>
      </c>
      <c r="G241">
        <v>9.5399999999999991</v>
      </c>
      <c r="H241">
        <v>6.3903333330000001</v>
      </c>
      <c r="J241">
        <v>10.01</v>
      </c>
      <c r="K241" t="s">
        <v>18</v>
      </c>
      <c r="L241" t="s">
        <v>129</v>
      </c>
    </row>
    <row r="242" spans="1:13">
      <c r="A242" s="1">
        <v>45157</v>
      </c>
      <c r="B242" t="s">
        <v>90</v>
      </c>
      <c r="C242" t="s">
        <v>130</v>
      </c>
      <c r="D242">
        <v>12.958444439999999</v>
      </c>
      <c r="E242">
        <v>13.616222219999999</v>
      </c>
      <c r="F242">
        <v>7.5673333329999997</v>
      </c>
      <c r="G242">
        <v>74.830111110000004</v>
      </c>
      <c r="H242">
        <v>69.884555559999995</v>
      </c>
      <c r="I242">
        <v>56.135666669999999</v>
      </c>
      <c r="J242">
        <v>117.61</v>
      </c>
      <c r="K242" t="s">
        <v>15</v>
      </c>
      <c r="L242" t="s">
        <v>15</v>
      </c>
      <c r="M242" t="s">
        <v>114</v>
      </c>
    </row>
    <row r="243" spans="1:13">
      <c r="A243" s="1">
        <v>45174</v>
      </c>
      <c r="B243" t="s">
        <v>13</v>
      </c>
      <c r="C243" t="s">
        <v>14</v>
      </c>
      <c r="J243" t="s">
        <v>22</v>
      </c>
      <c r="K243" t="s">
        <v>22</v>
      </c>
      <c r="L243" t="s">
        <v>22</v>
      </c>
    </row>
    <row r="244" spans="1:13">
      <c r="A244" s="1">
        <v>45174</v>
      </c>
      <c r="B244" t="s">
        <v>16</v>
      </c>
      <c r="C244" t="s">
        <v>17</v>
      </c>
      <c r="D244">
        <v>105.10444440000001</v>
      </c>
      <c r="E244">
        <v>54.858888890000003</v>
      </c>
      <c r="G244">
        <v>147.33799999999999</v>
      </c>
      <c r="H244">
        <v>104.7602222</v>
      </c>
      <c r="J244">
        <v>2769</v>
      </c>
      <c r="K244" t="s">
        <v>96</v>
      </c>
      <c r="L244" t="s">
        <v>131</v>
      </c>
    </row>
    <row r="245" spans="1:13">
      <c r="A245" s="1">
        <v>45174</v>
      </c>
      <c r="B245" t="s">
        <v>20</v>
      </c>
      <c r="C245" t="s">
        <v>21</v>
      </c>
      <c r="J245" t="s">
        <v>22</v>
      </c>
      <c r="K245" t="s">
        <v>22</v>
      </c>
      <c r="L245" t="s">
        <v>22</v>
      </c>
    </row>
    <row r="246" spans="1:13">
      <c r="A246" s="1">
        <v>45174</v>
      </c>
      <c r="B246" t="s">
        <v>23</v>
      </c>
      <c r="C246" t="s">
        <v>24</v>
      </c>
      <c r="D246">
        <v>12.349888890000001</v>
      </c>
      <c r="E246">
        <v>6.0027777779999996</v>
      </c>
      <c r="G246">
        <v>19.671111109999998</v>
      </c>
      <c r="H246">
        <v>12.97</v>
      </c>
      <c r="J246">
        <v>142</v>
      </c>
      <c r="K246" t="s">
        <v>84</v>
      </c>
      <c r="L246" t="s">
        <v>132</v>
      </c>
    </row>
    <row r="247" spans="1:13">
      <c r="A247" s="1">
        <v>45174</v>
      </c>
      <c r="B247" t="s">
        <v>25</v>
      </c>
      <c r="C247" t="s">
        <v>26</v>
      </c>
      <c r="D247">
        <v>8.3644444440000001</v>
      </c>
      <c r="E247">
        <v>4.3051111110000004</v>
      </c>
      <c r="G247">
        <v>17.001333330000001</v>
      </c>
      <c r="H247">
        <v>13.689111110000001</v>
      </c>
      <c r="J247">
        <v>89</v>
      </c>
      <c r="K247" t="s">
        <v>15</v>
      </c>
      <c r="L247" t="s">
        <v>15</v>
      </c>
    </row>
    <row r="248" spans="1:13">
      <c r="A248" s="1">
        <v>45174</v>
      </c>
      <c r="B248" t="s">
        <v>27</v>
      </c>
      <c r="C248" t="s">
        <v>28</v>
      </c>
      <c r="J248" t="s">
        <v>22</v>
      </c>
      <c r="K248" t="s">
        <v>22</v>
      </c>
      <c r="L248" t="s">
        <v>22</v>
      </c>
    </row>
    <row r="249" spans="1:13">
      <c r="A249" s="1">
        <v>45174</v>
      </c>
      <c r="B249" t="s">
        <v>29</v>
      </c>
      <c r="C249" t="s">
        <v>30</v>
      </c>
      <c r="J249" t="s">
        <v>22</v>
      </c>
      <c r="K249" t="s">
        <v>22</v>
      </c>
      <c r="L249" t="s">
        <v>22</v>
      </c>
    </row>
    <row r="250" spans="1:13">
      <c r="A250" s="1">
        <v>45174</v>
      </c>
      <c r="B250" t="s">
        <v>31</v>
      </c>
      <c r="C250" t="s">
        <v>32</v>
      </c>
      <c r="J250" t="s">
        <v>22</v>
      </c>
      <c r="K250" t="s">
        <v>22</v>
      </c>
      <c r="L250" t="s">
        <v>22</v>
      </c>
    </row>
    <row r="251" spans="1:13">
      <c r="A251" s="1">
        <v>45174</v>
      </c>
      <c r="B251" t="s">
        <v>33</v>
      </c>
      <c r="C251" t="s">
        <v>34</v>
      </c>
      <c r="D251">
        <v>9.8829999999999991</v>
      </c>
      <c r="E251">
        <v>5.1735555560000002</v>
      </c>
      <c r="G251">
        <v>8.9513333329999991</v>
      </c>
      <c r="H251">
        <v>7.6168888890000002</v>
      </c>
      <c r="J251">
        <v>36</v>
      </c>
      <c r="K251" t="s">
        <v>18</v>
      </c>
      <c r="L251" t="s">
        <v>65</v>
      </c>
    </row>
    <row r="252" spans="1:13">
      <c r="A252" s="1">
        <v>45174</v>
      </c>
      <c r="B252" t="s">
        <v>35</v>
      </c>
      <c r="C252" t="s">
        <v>36</v>
      </c>
      <c r="D252">
        <v>20.834555559999998</v>
      </c>
      <c r="E252">
        <v>8.9423333330000006</v>
      </c>
      <c r="G252">
        <v>37.258000000000003</v>
      </c>
      <c r="H252">
        <v>17.002444440000001</v>
      </c>
      <c r="J252">
        <v>795</v>
      </c>
      <c r="K252" t="s">
        <v>15</v>
      </c>
      <c r="L252" t="s">
        <v>15</v>
      </c>
    </row>
    <row r="253" spans="1:13">
      <c r="A253" s="1">
        <v>45174</v>
      </c>
      <c r="B253" t="s">
        <v>37</v>
      </c>
      <c r="C253" t="s">
        <v>38</v>
      </c>
      <c r="J253" t="s">
        <v>22</v>
      </c>
      <c r="K253" t="s">
        <v>22</v>
      </c>
      <c r="L253" t="s">
        <v>22</v>
      </c>
    </row>
    <row r="254" spans="1:13">
      <c r="A254" s="1">
        <v>45174</v>
      </c>
      <c r="B254" t="s">
        <v>39</v>
      </c>
      <c r="C254" t="s">
        <v>40</v>
      </c>
      <c r="D254">
        <v>5.8620000000000001</v>
      </c>
      <c r="E254">
        <v>8.3372222219999994</v>
      </c>
      <c r="G254">
        <v>6.721666667</v>
      </c>
      <c r="H254">
        <v>8.8784444439999994</v>
      </c>
      <c r="J254">
        <v>15</v>
      </c>
      <c r="K254" t="s">
        <v>18</v>
      </c>
      <c r="L254" t="s">
        <v>65</v>
      </c>
    </row>
    <row r="255" spans="1:13">
      <c r="A255" s="1">
        <v>45174</v>
      </c>
      <c r="B255" t="s">
        <v>41</v>
      </c>
      <c r="C255" t="s">
        <v>42</v>
      </c>
      <c r="J255" t="s">
        <v>22</v>
      </c>
      <c r="K255" t="s">
        <v>22</v>
      </c>
      <c r="L255" t="s">
        <v>22</v>
      </c>
    </row>
    <row r="256" spans="1:13">
      <c r="A256" s="1">
        <v>45174</v>
      </c>
      <c r="B256" t="s">
        <v>43</v>
      </c>
      <c r="C256" t="s">
        <v>44</v>
      </c>
      <c r="D256">
        <v>29.31555556</v>
      </c>
      <c r="E256">
        <v>18.212222220000001</v>
      </c>
      <c r="G256">
        <v>18.06433333</v>
      </c>
      <c r="H256">
        <v>14.651</v>
      </c>
      <c r="J256">
        <v>469</v>
      </c>
      <c r="K256" t="s">
        <v>96</v>
      </c>
      <c r="L256" t="s">
        <v>123</v>
      </c>
    </row>
    <row r="257" spans="1:12">
      <c r="A257" s="1">
        <v>45174</v>
      </c>
      <c r="B257" t="s">
        <v>45</v>
      </c>
      <c r="C257" t="s">
        <v>46</v>
      </c>
      <c r="D257">
        <v>19.339555560000001</v>
      </c>
      <c r="E257">
        <v>16.962888889999999</v>
      </c>
      <c r="G257">
        <v>25.829888889999999</v>
      </c>
      <c r="H257">
        <v>22.911000000000001</v>
      </c>
      <c r="J257">
        <v>142</v>
      </c>
      <c r="K257" t="s">
        <v>84</v>
      </c>
      <c r="L257" t="s">
        <v>133</v>
      </c>
    </row>
    <row r="258" spans="1:12">
      <c r="A258" s="1">
        <v>45174</v>
      </c>
      <c r="B258" t="s">
        <v>48</v>
      </c>
      <c r="C258" t="s">
        <v>49</v>
      </c>
      <c r="D258">
        <v>7.3547777779999999</v>
      </c>
      <c r="E258">
        <v>7.3339999999999996</v>
      </c>
      <c r="G258">
        <v>13.32144444</v>
      </c>
      <c r="H258">
        <v>12.969222220000001</v>
      </c>
      <c r="J258">
        <v>45</v>
      </c>
      <c r="K258" t="s">
        <v>18</v>
      </c>
      <c r="L258" t="s">
        <v>89</v>
      </c>
    </row>
    <row r="259" spans="1:12">
      <c r="A259" s="1">
        <v>45174</v>
      </c>
      <c r="B259" t="s">
        <v>50</v>
      </c>
      <c r="C259" t="s">
        <v>51</v>
      </c>
      <c r="D259">
        <v>35.916666669999998</v>
      </c>
      <c r="E259">
        <v>28.32</v>
      </c>
      <c r="G259">
        <v>61.417222219999999</v>
      </c>
      <c r="H259">
        <v>47.539444439999997</v>
      </c>
      <c r="J259">
        <v>1904</v>
      </c>
      <c r="K259" t="s">
        <v>15</v>
      </c>
      <c r="L259" t="s">
        <v>15</v>
      </c>
    </row>
    <row r="260" spans="1:12">
      <c r="A260" s="1">
        <v>45174</v>
      </c>
      <c r="B260" t="s">
        <v>53</v>
      </c>
      <c r="C260" t="s">
        <v>54</v>
      </c>
      <c r="J260" t="s">
        <v>22</v>
      </c>
      <c r="K260" t="s">
        <v>22</v>
      </c>
      <c r="L260" t="s">
        <v>22</v>
      </c>
    </row>
    <row r="261" spans="1:12">
      <c r="A261" s="1">
        <v>45174</v>
      </c>
      <c r="B261" t="s">
        <v>56</v>
      </c>
      <c r="C261" t="s">
        <v>57</v>
      </c>
      <c r="D261">
        <v>8.5308888889999999</v>
      </c>
      <c r="E261">
        <v>10.28977778</v>
      </c>
      <c r="G261">
        <v>23.547888889999999</v>
      </c>
      <c r="H261">
        <v>18.701222219999998</v>
      </c>
      <c r="J261">
        <v>86</v>
      </c>
      <c r="K261" t="s">
        <v>18</v>
      </c>
      <c r="L261" t="s">
        <v>65</v>
      </c>
    </row>
    <row r="262" spans="1:12">
      <c r="A262" s="1">
        <v>45174</v>
      </c>
      <c r="B262" t="s">
        <v>59</v>
      </c>
      <c r="C262" t="s">
        <v>60</v>
      </c>
      <c r="D262">
        <v>15.75677778</v>
      </c>
      <c r="E262">
        <v>6.8234444439999997</v>
      </c>
      <c r="G262">
        <v>15.607333329999999</v>
      </c>
      <c r="H262">
        <v>14.05066667</v>
      </c>
      <c r="J262">
        <v>69</v>
      </c>
      <c r="K262" t="s">
        <v>84</v>
      </c>
      <c r="L262" t="s">
        <v>134</v>
      </c>
    </row>
    <row r="263" spans="1:12">
      <c r="A263" s="1">
        <v>45174</v>
      </c>
      <c r="B263" t="s">
        <v>61</v>
      </c>
      <c r="C263" t="s">
        <v>62</v>
      </c>
      <c r="D263">
        <v>14.154</v>
      </c>
      <c r="E263">
        <v>4.6364444440000003</v>
      </c>
      <c r="G263">
        <v>10.862555560000001</v>
      </c>
      <c r="H263">
        <v>10.76188889</v>
      </c>
      <c r="J263">
        <v>18</v>
      </c>
      <c r="K263" t="s">
        <v>15</v>
      </c>
      <c r="L263" t="s">
        <v>15</v>
      </c>
    </row>
    <row r="264" spans="1:12">
      <c r="A264" s="1">
        <v>45174</v>
      </c>
      <c r="B264" t="s">
        <v>63</v>
      </c>
      <c r="C264" t="s">
        <v>64</v>
      </c>
      <c r="D264">
        <v>131.2858889</v>
      </c>
      <c r="E264">
        <v>62.939222219999998</v>
      </c>
      <c r="G264">
        <v>172.36811109999999</v>
      </c>
      <c r="H264">
        <v>90.851444439999995</v>
      </c>
      <c r="J264">
        <v>6587</v>
      </c>
      <c r="K264" t="s">
        <v>96</v>
      </c>
      <c r="L264" t="s">
        <v>135</v>
      </c>
    </row>
    <row r="265" spans="1:12">
      <c r="A265" s="1">
        <v>45174</v>
      </c>
      <c r="B265" t="s">
        <v>66</v>
      </c>
      <c r="C265" t="s">
        <v>67</v>
      </c>
      <c r="D265">
        <v>5.7270000000000003</v>
      </c>
      <c r="E265">
        <v>4.1894444440000003</v>
      </c>
      <c r="G265">
        <v>10.119222219999999</v>
      </c>
      <c r="H265">
        <v>11.495777779999999</v>
      </c>
      <c r="J265">
        <v>12</v>
      </c>
      <c r="K265" t="s">
        <v>18</v>
      </c>
      <c r="L265" t="s">
        <v>52</v>
      </c>
    </row>
    <row r="266" spans="1:12">
      <c r="A266" s="1">
        <v>45174</v>
      </c>
      <c r="B266" t="s">
        <v>68</v>
      </c>
      <c r="C266" t="s">
        <v>69</v>
      </c>
      <c r="D266">
        <v>6.3648888890000004</v>
      </c>
      <c r="E266">
        <v>5.5602222220000002</v>
      </c>
      <c r="G266">
        <v>11.151444440000001</v>
      </c>
      <c r="H266">
        <v>10.36955556</v>
      </c>
      <c r="J266">
        <v>36</v>
      </c>
      <c r="K266" t="s">
        <v>18</v>
      </c>
      <c r="L266" t="s">
        <v>65</v>
      </c>
    </row>
    <row r="267" spans="1:12">
      <c r="A267" s="1">
        <v>45174</v>
      </c>
      <c r="B267" t="s">
        <v>70</v>
      </c>
      <c r="C267" t="s">
        <v>71</v>
      </c>
      <c r="D267">
        <v>58.342555560000001</v>
      </c>
      <c r="E267">
        <v>27.97366667</v>
      </c>
      <c r="G267">
        <v>35.692333329999997</v>
      </c>
      <c r="H267">
        <v>37.720111109999998</v>
      </c>
      <c r="J267">
        <v>109</v>
      </c>
      <c r="K267" t="s">
        <v>18</v>
      </c>
      <c r="L267" t="s">
        <v>65</v>
      </c>
    </row>
    <row r="268" spans="1:12">
      <c r="A268" s="1">
        <v>45174</v>
      </c>
      <c r="B268" t="s">
        <v>72</v>
      </c>
      <c r="C268" t="s">
        <v>73</v>
      </c>
      <c r="D268">
        <v>23.065222219999999</v>
      </c>
      <c r="E268">
        <v>12.40077778</v>
      </c>
      <c r="G268">
        <v>42.866666670000001</v>
      </c>
      <c r="H268">
        <v>15.60111111</v>
      </c>
      <c r="J268">
        <v>500</v>
      </c>
      <c r="K268" t="s">
        <v>84</v>
      </c>
      <c r="L268" t="s">
        <v>65</v>
      </c>
    </row>
    <row r="269" spans="1:12">
      <c r="A269" s="1">
        <v>45174</v>
      </c>
      <c r="B269" t="s">
        <v>74</v>
      </c>
      <c r="C269" t="s">
        <v>75</v>
      </c>
      <c r="J269" t="s">
        <v>22</v>
      </c>
      <c r="K269" t="s">
        <v>22</v>
      </c>
      <c r="L269" t="s">
        <v>22</v>
      </c>
    </row>
    <row r="270" spans="1:12">
      <c r="A270" s="1">
        <v>45174</v>
      </c>
      <c r="B270" t="s">
        <v>77</v>
      </c>
      <c r="C270" t="s">
        <v>78</v>
      </c>
      <c r="J270" t="s">
        <v>22</v>
      </c>
      <c r="K270" t="s">
        <v>22</v>
      </c>
      <c r="L270" t="s">
        <v>22</v>
      </c>
    </row>
    <row r="271" spans="1:12">
      <c r="A271" s="1">
        <v>45174</v>
      </c>
      <c r="B271" t="s">
        <v>79</v>
      </c>
      <c r="C271" t="s">
        <v>80</v>
      </c>
      <c r="D271">
        <v>6.4558888889999997</v>
      </c>
      <c r="E271">
        <v>6.07</v>
      </c>
      <c r="G271">
        <v>9.1630000000000003</v>
      </c>
      <c r="H271">
        <v>8.4114444440000007</v>
      </c>
      <c r="J271">
        <v>16</v>
      </c>
      <c r="K271" t="s">
        <v>15</v>
      </c>
      <c r="L271" t="s">
        <v>15</v>
      </c>
    </row>
    <row r="272" spans="1:12">
      <c r="A272" s="1">
        <v>45174</v>
      </c>
      <c r="B272" t="s">
        <v>114</v>
      </c>
      <c r="C272" t="s">
        <v>130</v>
      </c>
      <c r="D272">
        <v>107.06233330000001</v>
      </c>
      <c r="E272">
        <v>48.78011111</v>
      </c>
      <c r="G272">
        <v>579.10966670000005</v>
      </c>
      <c r="H272">
        <v>245.0996667</v>
      </c>
      <c r="J272">
        <v>0</v>
      </c>
      <c r="K272" t="s">
        <v>22</v>
      </c>
      <c r="L272">
        <v>0</v>
      </c>
    </row>
    <row r="273" spans="1:13">
      <c r="A273" s="1">
        <v>45185</v>
      </c>
      <c r="B273" t="s">
        <v>13</v>
      </c>
      <c r="C273" t="s">
        <v>14</v>
      </c>
      <c r="D273">
        <v>5.2605555559999999</v>
      </c>
      <c r="E273">
        <v>4.8947777779999999</v>
      </c>
      <c r="G273">
        <v>10.506</v>
      </c>
      <c r="H273">
        <v>9.5547777780000001</v>
      </c>
      <c r="J273">
        <v>6</v>
      </c>
      <c r="K273" t="s">
        <v>15</v>
      </c>
      <c r="L273" t="s">
        <v>15</v>
      </c>
    </row>
    <row r="274" spans="1:13">
      <c r="A274" s="1">
        <v>45185</v>
      </c>
      <c r="B274" t="s">
        <v>16</v>
      </c>
      <c r="C274" t="s">
        <v>17</v>
      </c>
      <c r="J274" t="s">
        <v>22</v>
      </c>
      <c r="K274" t="s">
        <v>22</v>
      </c>
      <c r="L274" t="s">
        <v>22</v>
      </c>
    </row>
    <row r="275" spans="1:13">
      <c r="A275" s="1">
        <v>45185</v>
      </c>
      <c r="B275" t="s">
        <v>20</v>
      </c>
      <c r="C275" t="s">
        <v>21</v>
      </c>
      <c r="J275" t="s">
        <v>22</v>
      </c>
      <c r="K275" t="s">
        <v>22</v>
      </c>
      <c r="L275" t="s">
        <v>22</v>
      </c>
    </row>
    <row r="276" spans="1:13">
      <c r="A276" s="1">
        <v>45185</v>
      </c>
      <c r="B276" t="s">
        <v>23</v>
      </c>
      <c r="C276" t="s">
        <v>24</v>
      </c>
      <c r="D276">
        <v>49.556222220000002</v>
      </c>
      <c r="E276">
        <v>20.346222220000001</v>
      </c>
      <c r="G276">
        <v>30.467777779999999</v>
      </c>
      <c r="H276">
        <v>16.373333330000001</v>
      </c>
      <c r="J276">
        <v>549</v>
      </c>
      <c r="K276" t="s">
        <v>96</v>
      </c>
      <c r="L276" t="s">
        <v>91</v>
      </c>
    </row>
    <row r="277" spans="1:13">
      <c r="A277" s="1">
        <v>45185</v>
      </c>
      <c r="B277" t="s">
        <v>25</v>
      </c>
      <c r="C277" t="s">
        <v>26</v>
      </c>
      <c r="D277">
        <v>8.4662222220000007</v>
      </c>
      <c r="E277">
        <v>7.8215555559999999</v>
      </c>
      <c r="G277">
        <v>40.984000000000002</v>
      </c>
      <c r="H277">
        <v>32.769555560000001</v>
      </c>
      <c r="J277">
        <v>154</v>
      </c>
      <c r="K277" t="s">
        <v>18</v>
      </c>
      <c r="L277" t="s">
        <v>58</v>
      </c>
    </row>
    <row r="278" spans="1:13">
      <c r="A278" s="1">
        <v>45185</v>
      </c>
      <c r="B278" t="s">
        <v>27</v>
      </c>
      <c r="C278" t="s">
        <v>28</v>
      </c>
      <c r="D278">
        <v>3.9682222220000001</v>
      </c>
      <c r="E278">
        <v>3.589888889</v>
      </c>
      <c r="G278">
        <v>12.43111111</v>
      </c>
      <c r="H278">
        <v>10.948888889999999</v>
      </c>
      <c r="J278">
        <v>126</v>
      </c>
      <c r="K278" t="s">
        <v>15</v>
      </c>
      <c r="L278" t="s">
        <v>15</v>
      </c>
    </row>
    <row r="279" spans="1:13">
      <c r="A279" s="1">
        <v>45185</v>
      </c>
      <c r="B279" t="s">
        <v>29</v>
      </c>
      <c r="C279" t="s">
        <v>30</v>
      </c>
      <c r="J279" t="s">
        <v>22</v>
      </c>
      <c r="K279" t="s">
        <v>22</v>
      </c>
      <c r="L279" t="s">
        <v>22</v>
      </c>
    </row>
    <row r="280" spans="1:13">
      <c r="A280" s="1">
        <v>45185</v>
      </c>
      <c r="B280" t="s">
        <v>31</v>
      </c>
      <c r="C280" t="s">
        <v>32</v>
      </c>
      <c r="J280" t="s">
        <v>22</v>
      </c>
      <c r="K280" t="s">
        <v>22</v>
      </c>
      <c r="L280" t="s">
        <v>22</v>
      </c>
    </row>
    <row r="281" spans="1:13">
      <c r="A281" s="1">
        <v>45185</v>
      </c>
      <c r="B281" t="s">
        <v>33</v>
      </c>
      <c r="C281" t="s">
        <v>34</v>
      </c>
      <c r="D281">
        <v>8.7412222219999993</v>
      </c>
      <c r="E281">
        <v>4.8455555559999999</v>
      </c>
      <c r="G281">
        <v>12.37611111</v>
      </c>
      <c r="H281">
        <v>9.2658888889999993</v>
      </c>
      <c r="J281">
        <v>14</v>
      </c>
      <c r="K281" t="s">
        <v>15</v>
      </c>
      <c r="L281" t="s">
        <v>15</v>
      </c>
    </row>
    <row r="282" spans="1:13">
      <c r="A282" s="1">
        <v>45185</v>
      </c>
      <c r="B282" t="s">
        <v>35</v>
      </c>
      <c r="C282" t="s">
        <v>36</v>
      </c>
      <c r="D282">
        <v>3.8768888889999999</v>
      </c>
      <c r="E282">
        <v>3.0981111110000001</v>
      </c>
      <c r="G282">
        <v>9.5995555560000003</v>
      </c>
      <c r="H282">
        <v>7.5207777780000002</v>
      </c>
      <c r="J282">
        <v>15</v>
      </c>
      <c r="K282" t="s">
        <v>15</v>
      </c>
      <c r="L282" t="s">
        <v>15</v>
      </c>
    </row>
    <row r="283" spans="1:13">
      <c r="A283" s="1">
        <v>45185</v>
      </c>
      <c r="B283" t="s">
        <v>37</v>
      </c>
      <c r="C283" t="s">
        <v>38</v>
      </c>
      <c r="D283">
        <v>206.24244440000001</v>
      </c>
      <c r="E283">
        <v>189.3868889</v>
      </c>
      <c r="G283">
        <v>279.56155560000002</v>
      </c>
      <c r="H283">
        <v>231.1948889</v>
      </c>
      <c r="J283">
        <v>7325</v>
      </c>
      <c r="K283" t="s">
        <v>84</v>
      </c>
      <c r="L283" t="s">
        <v>92</v>
      </c>
    </row>
    <row r="284" spans="1:13">
      <c r="A284" s="1">
        <v>45185</v>
      </c>
      <c r="B284" t="s">
        <v>39</v>
      </c>
      <c r="C284" t="s">
        <v>40</v>
      </c>
      <c r="D284">
        <v>7.1737777779999998</v>
      </c>
      <c r="E284">
        <v>5.3230000000000004</v>
      </c>
      <c r="G284">
        <v>4.8982222220000002</v>
      </c>
      <c r="H284">
        <v>4.624333333</v>
      </c>
      <c r="J284">
        <v>42</v>
      </c>
      <c r="K284" t="s">
        <v>18</v>
      </c>
      <c r="L284" t="s">
        <v>65</v>
      </c>
    </row>
    <row r="285" spans="1:13">
      <c r="A285" s="1">
        <v>45185</v>
      </c>
      <c r="B285" t="s">
        <v>41</v>
      </c>
      <c r="C285" t="s">
        <v>42</v>
      </c>
      <c r="J285" t="s">
        <v>22</v>
      </c>
      <c r="K285" t="s">
        <v>22</v>
      </c>
      <c r="L285" t="s">
        <v>22</v>
      </c>
    </row>
    <row r="286" spans="1:13">
      <c r="A286" s="1">
        <v>45185</v>
      </c>
      <c r="B286" t="s">
        <v>43</v>
      </c>
      <c r="C286" t="s">
        <v>44</v>
      </c>
      <c r="D286">
        <v>83.060333330000006</v>
      </c>
      <c r="E286">
        <v>41.256999999999998</v>
      </c>
      <c r="G286">
        <v>17.933666670000001</v>
      </c>
      <c r="H286">
        <v>11.962</v>
      </c>
      <c r="J286">
        <v>1975</v>
      </c>
      <c r="K286" t="s">
        <v>96</v>
      </c>
      <c r="L286" t="s">
        <v>123</v>
      </c>
    </row>
    <row r="287" spans="1:13">
      <c r="A287" s="1">
        <v>45185</v>
      </c>
      <c r="B287" t="s">
        <v>45</v>
      </c>
      <c r="C287" t="s">
        <v>46</v>
      </c>
      <c r="D287">
        <v>44.256333329999997</v>
      </c>
      <c r="E287">
        <v>34.50744444</v>
      </c>
      <c r="G287">
        <v>24.90177778</v>
      </c>
      <c r="H287">
        <v>23.756222220000001</v>
      </c>
      <c r="J287">
        <v>778</v>
      </c>
      <c r="K287" t="s">
        <v>96</v>
      </c>
      <c r="L287" t="s">
        <v>136</v>
      </c>
    </row>
    <row r="288" spans="1:13">
      <c r="A288" s="1">
        <v>45185</v>
      </c>
      <c r="B288" t="s">
        <v>48</v>
      </c>
      <c r="C288" t="s">
        <v>49</v>
      </c>
      <c r="D288">
        <v>40.668999999999997</v>
      </c>
      <c r="E288">
        <v>10.29344444</v>
      </c>
      <c r="G288">
        <v>47.555222219999997</v>
      </c>
      <c r="H288">
        <v>40.581888890000002</v>
      </c>
      <c r="J288">
        <v>0</v>
      </c>
      <c r="K288" t="s">
        <v>22</v>
      </c>
      <c r="L288" t="s">
        <v>137</v>
      </c>
      <c r="M288" t="s">
        <v>94</v>
      </c>
    </row>
    <row r="289" spans="1:12">
      <c r="A289" s="1">
        <v>45185</v>
      </c>
      <c r="B289" t="s">
        <v>50</v>
      </c>
      <c r="C289" t="s">
        <v>51</v>
      </c>
      <c r="J289" t="s">
        <v>22</v>
      </c>
      <c r="K289" t="s">
        <v>22</v>
      </c>
      <c r="L289" t="s">
        <v>22</v>
      </c>
    </row>
    <row r="290" spans="1:12">
      <c r="A290" s="1">
        <v>45185</v>
      </c>
      <c r="B290" t="s">
        <v>53</v>
      </c>
      <c r="C290" t="s">
        <v>54</v>
      </c>
      <c r="D290">
        <v>25.409555560000001</v>
      </c>
      <c r="E290">
        <v>15.68844444</v>
      </c>
      <c r="G290">
        <v>10.881111110000001</v>
      </c>
      <c r="H290">
        <v>9.0446666669999995</v>
      </c>
      <c r="J290">
        <v>294</v>
      </c>
      <c r="K290" t="s">
        <v>96</v>
      </c>
      <c r="L290" t="s">
        <v>138</v>
      </c>
    </row>
    <row r="291" spans="1:12">
      <c r="A291" s="1">
        <v>45185</v>
      </c>
      <c r="B291" t="s">
        <v>56</v>
      </c>
      <c r="C291" t="s">
        <v>57</v>
      </c>
      <c r="D291">
        <v>7.8185555559999997</v>
      </c>
      <c r="E291">
        <v>4.6881111110000004</v>
      </c>
      <c r="G291">
        <v>12.697777779999999</v>
      </c>
      <c r="H291">
        <v>11.24666667</v>
      </c>
      <c r="J291">
        <v>229</v>
      </c>
      <c r="K291" t="s">
        <v>18</v>
      </c>
      <c r="L291" t="s">
        <v>139</v>
      </c>
    </row>
    <row r="292" spans="1:12">
      <c r="A292" s="1">
        <v>45185</v>
      </c>
      <c r="B292" t="s">
        <v>59</v>
      </c>
      <c r="C292" t="s">
        <v>60</v>
      </c>
      <c r="D292">
        <v>19.626999999999999</v>
      </c>
      <c r="E292">
        <v>8.8870000000000005</v>
      </c>
      <c r="G292">
        <v>12.682</v>
      </c>
      <c r="H292">
        <v>9.6653333329999995</v>
      </c>
      <c r="J292">
        <v>117</v>
      </c>
      <c r="K292" t="s">
        <v>84</v>
      </c>
      <c r="L292" t="s">
        <v>140</v>
      </c>
    </row>
    <row r="293" spans="1:12">
      <c r="A293" s="1">
        <v>45185</v>
      </c>
      <c r="B293" t="s">
        <v>61</v>
      </c>
      <c r="C293" t="s">
        <v>62</v>
      </c>
      <c r="D293">
        <v>18.264111110000002</v>
      </c>
      <c r="E293">
        <v>3.4222222219999998</v>
      </c>
      <c r="G293">
        <v>10.997222219999999</v>
      </c>
      <c r="H293">
        <v>10.23733333</v>
      </c>
      <c r="J293">
        <v>22</v>
      </c>
      <c r="K293" t="s">
        <v>15</v>
      </c>
      <c r="L293" t="s">
        <v>15</v>
      </c>
    </row>
    <row r="294" spans="1:12">
      <c r="A294" s="1">
        <v>45185</v>
      </c>
      <c r="B294" t="s">
        <v>63</v>
      </c>
      <c r="C294" t="s">
        <v>64</v>
      </c>
      <c r="D294">
        <v>232.9038889</v>
      </c>
      <c r="E294">
        <v>119.6261111</v>
      </c>
      <c r="G294">
        <v>109.1097778</v>
      </c>
      <c r="H294">
        <v>79.340888890000002</v>
      </c>
      <c r="J294">
        <v>3885</v>
      </c>
      <c r="K294" t="s">
        <v>96</v>
      </c>
      <c r="L294" t="s">
        <v>141</v>
      </c>
    </row>
    <row r="295" spans="1:12">
      <c r="A295" s="1">
        <v>45185</v>
      </c>
      <c r="B295" t="s">
        <v>66</v>
      </c>
      <c r="C295" t="s">
        <v>67</v>
      </c>
      <c r="D295">
        <v>9.7535555560000002</v>
      </c>
      <c r="E295">
        <v>9.2373333330000005</v>
      </c>
      <c r="G295">
        <v>11.39544444</v>
      </c>
      <c r="H295">
        <v>11.570444439999999</v>
      </c>
      <c r="J295">
        <v>12</v>
      </c>
      <c r="K295" t="s">
        <v>18</v>
      </c>
      <c r="L295" t="s">
        <v>142</v>
      </c>
    </row>
    <row r="296" spans="1:12">
      <c r="A296" s="1">
        <v>45185</v>
      </c>
      <c r="B296" t="s">
        <v>68</v>
      </c>
      <c r="C296" t="s">
        <v>69</v>
      </c>
      <c r="D296">
        <v>6.988888889</v>
      </c>
      <c r="E296">
        <v>9.5057777780000006</v>
      </c>
      <c r="G296">
        <v>17.344999999999999</v>
      </c>
      <c r="H296">
        <v>14.90944444</v>
      </c>
      <c r="J296">
        <v>88</v>
      </c>
      <c r="K296" t="s">
        <v>15</v>
      </c>
      <c r="L296" t="s">
        <v>15</v>
      </c>
    </row>
    <row r="297" spans="1:12">
      <c r="A297" s="1">
        <v>45185</v>
      </c>
      <c r="B297" t="s">
        <v>70</v>
      </c>
      <c r="C297" t="s">
        <v>71</v>
      </c>
      <c r="D297">
        <v>42.677555560000002</v>
      </c>
      <c r="E297">
        <v>9.7208888889999994</v>
      </c>
      <c r="G297">
        <v>33.195444440000003</v>
      </c>
      <c r="H297">
        <v>15.31322222</v>
      </c>
      <c r="J297">
        <v>155</v>
      </c>
      <c r="K297" t="s">
        <v>18</v>
      </c>
      <c r="L297" t="s">
        <v>65</v>
      </c>
    </row>
    <row r="298" spans="1:12">
      <c r="A298" s="1">
        <v>45185</v>
      </c>
      <c r="B298" t="s">
        <v>72</v>
      </c>
      <c r="C298" t="s">
        <v>73</v>
      </c>
      <c r="D298">
        <v>29.058111109999999</v>
      </c>
      <c r="E298">
        <v>7.2638888890000004</v>
      </c>
      <c r="G298">
        <v>35.522555560000001</v>
      </c>
      <c r="H298">
        <v>17.325888890000002</v>
      </c>
      <c r="J298">
        <v>333</v>
      </c>
      <c r="K298" t="s">
        <v>84</v>
      </c>
      <c r="L298" t="s">
        <v>143</v>
      </c>
    </row>
    <row r="299" spans="1:12">
      <c r="A299" s="1">
        <v>45185</v>
      </c>
      <c r="B299" t="s">
        <v>74</v>
      </c>
      <c r="C299" t="s">
        <v>75</v>
      </c>
      <c r="D299">
        <v>52.726444440000002</v>
      </c>
      <c r="E299">
        <v>16.852</v>
      </c>
      <c r="G299">
        <v>20.823888889999999</v>
      </c>
      <c r="H299">
        <v>18.684999999999999</v>
      </c>
      <c r="J299">
        <v>2340</v>
      </c>
      <c r="K299" t="s">
        <v>84</v>
      </c>
      <c r="L299" t="s">
        <v>58</v>
      </c>
    </row>
    <row r="300" spans="1:12">
      <c r="A300" s="1">
        <v>45185</v>
      </c>
      <c r="B300" t="s">
        <v>77</v>
      </c>
      <c r="C300" t="s">
        <v>78</v>
      </c>
      <c r="J300" t="s">
        <v>22</v>
      </c>
      <c r="K300" t="s">
        <v>22</v>
      </c>
      <c r="L300" t="s">
        <v>22</v>
      </c>
    </row>
    <row r="301" spans="1:12">
      <c r="A301" s="1">
        <v>45185</v>
      </c>
      <c r="B301" t="s">
        <v>79</v>
      </c>
      <c r="C301" t="s">
        <v>80</v>
      </c>
      <c r="D301">
        <v>3.677333333</v>
      </c>
      <c r="E301">
        <v>5.1605555560000003</v>
      </c>
      <c r="G301">
        <v>11.157166670000001</v>
      </c>
      <c r="H301">
        <v>8.4748888890000007</v>
      </c>
      <c r="J301">
        <v>22</v>
      </c>
      <c r="K301" t="s">
        <v>18</v>
      </c>
      <c r="L301" t="s">
        <v>144</v>
      </c>
    </row>
    <row r="302" spans="1:12">
      <c r="A302" s="1">
        <v>45185</v>
      </c>
      <c r="B302" t="s">
        <v>114</v>
      </c>
      <c r="C302" t="s">
        <v>130</v>
      </c>
      <c r="D302">
        <v>20.401444439999999</v>
      </c>
      <c r="E302">
        <v>21.709222220000001</v>
      </c>
      <c r="G302">
        <v>134.15566670000001</v>
      </c>
      <c r="H302">
        <v>144.93344440000001</v>
      </c>
      <c r="J302">
        <v>2409</v>
      </c>
      <c r="K302" t="s">
        <v>15</v>
      </c>
      <c r="L302" t="s">
        <v>15</v>
      </c>
    </row>
    <row r="303" spans="1:12">
      <c r="A303" s="1">
        <v>45201</v>
      </c>
      <c r="B303" t="s">
        <v>13</v>
      </c>
      <c r="C303" t="s">
        <v>14</v>
      </c>
      <c r="D303">
        <v>0.112444444</v>
      </c>
      <c r="E303">
        <v>0.41455555599999999</v>
      </c>
      <c r="G303">
        <v>5.2928888890000003</v>
      </c>
      <c r="H303">
        <v>5.3104444439999998</v>
      </c>
      <c r="J303">
        <v>33</v>
      </c>
      <c r="K303" t="s">
        <v>95</v>
      </c>
      <c r="L303" t="s">
        <v>15</v>
      </c>
    </row>
    <row r="304" spans="1:12">
      <c r="A304" s="1">
        <v>45201</v>
      </c>
      <c r="B304" t="s">
        <v>16</v>
      </c>
      <c r="C304" t="s">
        <v>17</v>
      </c>
      <c r="D304">
        <v>57.271444440000003</v>
      </c>
      <c r="E304">
        <v>38.837000000000003</v>
      </c>
      <c r="G304">
        <v>133.006</v>
      </c>
      <c r="H304">
        <v>122.1948889</v>
      </c>
      <c r="J304">
        <v>2034</v>
      </c>
      <c r="K304" t="s">
        <v>145</v>
      </c>
      <c r="L304" t="s">
        <v>146</v>
      </c>
    </row>
    <row r="305" spans="1:13">
      <c r="A305" s="1">
        <v>45201</v>
      </c>
      <c r="B305" t="s">
        <v>20</v>
      </c>
      <c r="C305" t="s">
        <v>21</v>
      </c>
      <c r="J305" t="s">
        <v>22</v>
      </c>
      <c r="K305" t="s">
        <v>22</v>
      </c>
      <c r="L305" t="s">
        <v>22</v>
      </c>
    </row>
    <row r="306" spans="1:13">
      <c r="A306" s="1">
        <v>45201</v>
      </c>
      <c r="B306" t="s">
        <v>23</v>
      </c>
      <c r="C306" t="s">
        <v>24</v>
      </c>
      <c r="D306">
        <v>14.388444440000001</v>
      </c>
      <c r="E306">
        <v>4.1854444439999998</v>
      </c>
      <c r="G306">
        <v>45.737888890000001</v>
      </c>
      <c r="H306">
        <v>8.0597777780000008</v>
      </c>
      <c r="J306">
        <v>305</v>
      </c>
      <c r="K306" t="s">
        <v>84</v>
      </c>
      <c r="L306" t="s">
        <v>86</v>
      </c>
    </row>
    <row r="307" spans="1:13">
      <c r="A307" s="1">
        <v>45201</v>
      </c>
      <c r="B307" t="s">
        <v>25</v>
      </c>
      <c r="C307" t="s">
        <v>26</v>
      </c>
      <c r="J307" t="s">
        <v>22</v>
      </c>
      <c r="K307" t="s">
        <v>22</v>
      </c>
      <c r="L307" t="s">
        <v>22</v>
      </c>
    </row>
    <row r="308" spans="1:13">
      <c r="A308" s="1">
        <v>45201</v>
      </c>
      <c r="B308" t="s">
        <v>27</v>
      </c>
      <c r="C308" t="s">
        <v>28</v>
      </c>
      <c r="D308">
        <v>5.9198888890000001</v>
      </c>
      <c r="E308">
        <v>3.2225000000000001</v>
      </c>
      <c r="G308">
        <v>14.50933333</v>
      </c>
      <c r="H308">
        <v>8.3438333329999992</v>
      </c>
      <c r="J308">
        <v>171</v>
      </c>
      <c r="K308" t="s">
        <v>18</v>
      </c>
      <c r="L308" t="s">
        <v>58</v>
      </c>
    </row>
    <row r="309" spans="1:13">
      <c r="A309" s="1">
        <v>45201</v>
      </c>
      <c r="B309" t="s">
        <v>29</v>
      </c>
      <c r="C309" t="s">
        <v>30</v>
      </c>
      <c r="J309" t="s">
        <v>22</v>
      </c>
      <c r="K309" t="s">
        <v>22</v>
      </c>
      <c r="L309" t="s">
        <v>22</v>
      </c>
    </row>
    <row r="310" spans="1:13">
      <c r="A310" s="1">
        <v>45201</v>
      </c>
      <c r="B310" t="s">
        <v>31</v>
      </c>
      <c r="C310" t="s">
        <v>32</v>
      </c>
      <c r="J310" t="s">
        <v>22</v>
      </c>
      <c r="K310" t="s">
        <v>22</v>
      </c>
      <c r="L310" t="s">
        <v>22</v>
      </c>
    </row>
    <row r="311" spans="1:13">
      <c r="A311" s="1">
        <v>45201</v>
      </c>
      <c r="B311" t="s">
        <v>33</v>
      </c>
      <c r="C311" t="s">
        <v>34</v>
      </c>
      <c r="D311">
        <v>11.817888890000001</v>
      </c>
      <c r="E311">
        <v>11.76922222</v>
      </c>
      <c r="G311">
        <v>12.38777778</v>
      </c>
      <c r="H311">
        <v>12.054111109999999</v>
      </c>
      <c r="J311">
        <v>17</v>
      </c>
      <c r="K311" t="s">
        <v>15</v>
      </c>
      <c r="L311" t="s">
        <v>15</v>
      </c>
    </row>
    <row r="312" spans="1:13">
      <c r="A312" s="1">
        <v>45201</v>
      </c>
      <c r="B312" t="s">
        <v>35</v>
      </c>
      <c r="C312" t="s">
        <v>36</v>
      </c>
      <c r="D312">
        <v>53.135444440000001</v>
      </c>
      <c r="E312">
        <v>24.406555560000001</v>
      </c>
      <c r="G312">
        <v>151.98411110000001</v>
      </c>
      <c r="H312">
        <v>36.710777780000001</v>
      </c>
      <c r="J312">
        <v>6</v>
      </c>
      <c r="K312" t="s">
        <v>18</v>
      </c>
      <c r="L312" t="s">
        <v>65</v>
      </c>
    </row>
    <row r="313" spans="1:13">
      <c r="A313" s="1">
        <v>45201</v>
      </c>
      <c r="B313" t="s">
        <v>37</v>
      </c>
      <c r="C313" t="s">
        <v>38</v>
      </c>
      <c r="D313">
        <v>132.4052222</v>
      </c>
      <c r="E313">
        <v>119.283</v>
      </c>
      <c r="G313">
        <v>191.3402222</v>
      </c>
      <c r="H313">
        <v>179.2068889</v>
      </c>
      <c r="J313">
        <v>0</v>
      </c>
      <c r="K313" t="s">
        <v>22</v>
      </c>
      <c r="L313" t="s">
        <v>103</v>
      </c>
      <c r="M313" t="s">
        <v>147</v>
      </c>
    </row>
    <row r="314" spans="1:13">
      <c r="A314" s="1">
        <v>45201</v>
      </c>
      <c r="B314" t="s">
        <v>39</v>
      </c>
      <c r="C314" t="s">
        <v>40</v>
      </c>
      <c r="D314">
        <v>9.0150000000000006</v>
      </c>
      <c r="E314">
        <v>9.5787777779999992</v>
      </c>
      <c r="G314">
        <v>7.6041111109999999</v>
      </c>
      <c r="H314">
        <v>7.9909999999999997</v>
      </c>
      <c r="J314">
        <v>23</v>
      </c>
      <c r="K314" t="s">
        <v>15</v>
      </c>
      <c r="L314" t="s">
        <v>15</v>
      </c>
    </row>
    <row r="315" spans="1:13">
      <c r="A315" s="1">
        <v>45201</v>
      </c>
      <c r="B315" t="s">
        <v>41</v>
      </c>
      <c r="C315" t="s">
        <v>42</v>
      </c>
      <c r="J315" t="s">
        <v>22</v>
      </c>
      <c r="K315" t="s">
        <v>22</v>
      </c>
      <c r="L315" t="s">
        <v>22</v>
      </c>
    </row>
    <row r="316" spans="1:13">
      <c r="A316" s="1">
        <v>45201</v>
      </c>
      <c r="B316" t="s">
        <v>43</v>
      </c>
      <c r="C316" t="s">
        <v>44</v>
      </c>
      <c r="D316">
        <v>60.66566667</v>
      </c>
      <c r="E316">
        <v>17.219000000000001</v>
      </c>
      <c r="G316">
        <v>15.798888890000001</v>
      </c>
      <c r="H316">
        <v>10.975</v>
      </c>
      <c r="J316">
        <v>442</v>
      </c>
      <c r="K316" t="s">
        <v>96</v>
      </c>
      <c r="L316" t="s">
        <v>148</v>
      </c>
    </row>
    <row r="317" spans="1:13">
      <c r="A317" s="1">
        <v>45201</v>
      </c>
      <c r="B317" t="s">
        <v>45</v>
      </c>
      <c r="C317" t="s">
        <v>46</v>
      </c>
      <c r="D317">
        <v>51.992333330000001</v>
      </c>
      <c r="E317">
        <v>38.537888889999998</v>
      </c>
      <c r="G317">
        <v>27.270888889999998</v>
      </c>
      <c r="H317">
        <v>22.321999999999999</v>
      </c>
      <c r="J317">
        <v>995</v>
      </c>
      <c r="K317" t="s">
        <v>96</v>
      </c>
      <c r="L317" t="s">
        <v>149</v>
      </c>
    </row>
    <row r="318" spans="1:13">
      <c r="A318" s="1">
        <v>45201</v>
      </c>
      <c r="B318" t="s">
        <v>48</v>
      </c>
      <c r="C318" t="s">
        <v>49</v>
      </c>
      <c r="D318">
        <v>3.8168888889999999</v>
      </c>
      <c r="E318">
        <v>1.8107777780000001</v>
      </c>
      <c r="G318">
        <v>7.9206666669999999</v>
      </c>
      <c r="H318">
        <v>6.2234444440000001</v>
      </c>
      <c r="J318">
        <v>55</v>
      </c>
      <c r="K318" t="s">
        <v>18</v>
      </c>
      <c r="L318" t="s">
        <v>52</v>
      </c>
    </row>
    <row r="319" spans="1:13">
      <c r="A319" s="1">
        <v>45201</v>
      </c>
      <c r="B319" t="s">
        <v>50</v>
      </c>
      <c r="C319" t="s">
        <v>51</v>
      </c>
      <c r="D319">
        <v>12.74544444</v>
      </c>
      <c r="E319">
        <v>8.4543333329999992</v>
      </c>
      <c r="G319">
        <v>48.267777780000003</v>
      </c>
      <c r="H319">
        <v>38.874444439999998</v>
      </c>
      <c r="J319">
        <v>153</v>
      </c>
      <c r="K319" t="s">
        <v>15</v>
      </c>
      <c r="L319" t="s">
        <v>15</v>
      </c>
    </row>
    <row r="320" spans="1:13">
      <c r="A320" s="1">
        <v>45201</v>
      </c>
      <c r="B320" t="s">
        <v>53</v>
      </c>
      <c r="C320" t="s">
        <v>54</v>
      </c>
      <c r="D320">
        <v>9.3160000000000007</v>
      </c>
      <c r="E320">
        <v>5.5304444439999996</v>
      </c>
      <c r="G320">
        <v>12.503666669999999</v>
      </c>
      <c r="H320">
        <v>9.2088888890000007</v>
      </c>
      <c r="J320">
        <v>72</v>
      </c>
      <c r="K320" t="s">
        <v>18</v>
      </c>
      <c r="L320" t="s">
        <v>150</v>
      </c>
    </row>
    <row r="321" spans="1:13">
      <c r="A321" s="1">
        <v>45201</v>
      </c>
      <c r="B321" t="s">
        <v>56</v>
      </c>
      <c r="C321" t="s">
        <v>57</v>
      </c>
      <c r="D321">
        <v>4.9974444440000001</v>
      </c>
      <c r="E321">
        <v>1.8832222219999999</v>
      </c>
      <c r="G321">
        <v>12.656555559999999</v>
      </c>
      <c r="H321">
        <v>10.45877778</v>
      </c>
      <c r="J321">
        <v>46</v>
      </c>
      <c r="K321" t="s">
        <v>18</v>
      </c>
      <c r="L321" t="s">
        <v>65</v>
      </c>
    </row>
    <row r="322" spans="1:13">
      <c r="A322" s="1">
        <v>45201</v>
      </c>
      <c r="B322" t="s">
        <v>59</v>
      </c>
      <c r="C322" t="s">
        <v>60</v>
      </c>
      <c r="J322" t="s">
        <v>22</v>
      </c>
      <c r="K322" t="s">
        <v>22</v>
      </c>
      <c r="L322" t="s">
        <v>22</v>
      </c>
    </row>
    <row r="323" spans="1:13">
      <c r="A323" s="1">
        <v>45201</v>
      </c>
      <c r="B323" t="s">
        <v>61</v>
      </c>
      <c r="C323" t="s">
        <v>62</v>
      </c>
      <c r="J323" t="s">
        <v>22</v>
      </c>
      <c r="K323" t="s">
        <v>22</v>
      </c>
      <c r="L323" t="s">
        <v>22</v>
      </c>
    </row>
    <row r="324" spans="1:13">
      <c r="A324" s="1">
        <v>45201</v>
      </c>
      <c r="B324" t="s">
        <v>63</v>
      </c>
      <c r="C324" t="s">
        <v>64</v>
      </c>
      <c r="D324">
        <v>18.279555559999999</v>
      </c>
      <c r="E324">
        <v>15.601777780000001</v>
      </c>
      <c r="G324">
        <v>114.1012222</v>
      </c>
      <c r="H324">
        <v>96.585666669999995</v>
      </c>
      <c r="J324">
        <v>1191</v>
      </c>
      <c r="K324" t="s">
        <v>15</v>
      </c>
      <c r="L324" t="s">
        <v>15</v>
      </c>
    </row>
    <row r="325" spans="1:13">
      <c r="A325" s="1">
        <v>45201</v>
      </c>
      <c r="B325" t="s">
        <v>66</v>
      </c>
      <c r="C325" t="s">
        <v>67</v>
      </c>
      <c r="D325">
        <v>9.3751111110000007</v>
      </c>
      <c r="E325">
        <v>8.5287777780000003</v>
      </c>
      <c r="G325">
        <v>9.8775555560000008</v>
      </c>
      <c r="H325">
        <v>11.22955556</v>
      </c>
      <c r="J325">
        <v>11</v>
      </c>
      <c r="K325" t="s">
        <v>15</v>
      </c>
      <c r="L325" t="s">
        <v>15</v>
      </c>
    </row>
    <row r="326" spans="1:13">
      <c r="A326" s="1">
        <v>45201</v>
      </c>
      <c r="B326" t="s">
        <v>68</v>
      </c>
      <c r="C326" t="s">
        <v>69</v>
      </c>
      <c r="D326">
        <v>0.95866666700000003</v>
      </c>
      <c r="E326">
        <v>-1.453222222</v>
      </c>
      <c r="G326">
        <v>9.6042222220000006</v>
      </c>
      <c r="H326">
        <v>9.5708888890000008</v>
      </c>
      <c r="J326">
        <v>18</v>
      </c>
      <c r="K326" t="s">
        <v>15</v>
      </c>
      <c r="L326" t="s">
        <v>15</v>
      </c>
    </row>
    <row r="327" spans="1:13">
      <c r="A327" s="1">
        <v>45201</v>
      </c>
      <c r="B327" t="s">
        <v>70</v>
      </c>
      <c r="C327" t="s">
        <v>71</v>
      </c>
      <c r="D327">
        <v>7.9686666669999999</v>
      </c>
      <c r="E327">
        <v>3.6038888889999998</v>
      </c>
      <c r="G327">
        <v>24.758888890000001</v>
      </c>
      <c r="H327">
        <v>13.56777778</v>
      </c>
      <c r="J327">
        <v>108</v>
      </c>
      <c r="K327" t="s">
        <v>15</v>
      </c>
      <c r="L327" t="s">
        <v>15</v>
      </c>
    </row>
    <row r="328" spans="1:13">
      <c r="A328" s="1">
        <v>45201</v>
      </c>
      <c r="B328" t="s">
        <v>72</v>
      </c>
      <c r="C328" t="s">
        <v>73</v>
      </c>
      <c r="D328">
        <v>13.672555559999999</v>
      </c>
      <c r="E328">
        <v>5.6764444440000004</v>
      </c>
      <c r="G328">
        <v>43.323555560000003</v>
      </c>
      <c r="H328">
        <v>12.66544444</v>
      </c>
      <c r="J328">
        <v>262</v>
      </c>
      <c r="K328" t="s">
        <v>18</v>
      </c>
      <c r="L328" t="s">
        <v>65</v>
      </c>
    </row>
    <row r="329" spans="1:13">
      <c r="A329" s="1">
        <v>45201</v>
      </c>
      <c r="B329" t="s">
        <v>74</v>
      </c>
      <c r="C329" t="s">
        <v>75</v>
      </c>
      <c r="D329">
        <v>61.129111109999997</v>
      </c>
      <c r="E329">
        <v>14.904666669999999</v>
      </c>
      <c r="G329">
        <v>34.999777780000002</v>
      </c>
      <c r="H329">
        <v>22.967555560000001</v>
      </c>
      <c r="J329">
        <v>1062</v>
      </c>
      <c r="K329" t="s">
        <v>84</v>
      </c>
      <c r="L329" t="s">
        <v>58</v>
      </c>
    </row>
    <row r="330" spans="1:13">
      <c r="A330" s="1">
        <v>45201</v>
      </c>
      <c r="B330" t="s">
        <v>77</v>
      </c>
      <c r="C330" t="s">
        <v>78</v>
      </c>
      <c r="J330" t="s">
        <v>22</v>
      </c>
      <c r="K330" t="s">
        <v>22</v>
      </c>
      <c r="L330" t="s">
        <v>22</v>
      </c>
    </row>
    <row r="331" spans="1:13">
      <c r="A331" s="1">
        <v>45201</v>
      </c>
      <c r="B331" t="s">
        <v>79</v>
      </c>
      <c r="C331" t="s">
        <v>80</v>
      </c>
      <c r="D331">
        <v>7.2938888889999998</v>
      </c>
      <c r="E331">
        <v>8.5357777779999999</v>
      </c>
      <c r="G331">
        <v>7.9963333329999999</v>
      </c>
      <c r="H331">
        <v>7.6708888890000004</v>
      </c>
      <c r="J331">
        <v>4</v>
      </c>
      <c r="K331" t="s">
        <v>95</v>
      </c>
      <c r="L331" t="s">
        <v>15</v>
      </c>
    </row>
    <row r="332" spans="1:13">
      <c r="A332" s="1">
        <v>45201</v>
      </c>
      <c r="B332" t="s">
        <v>90</v>
      </c>
      <c r="C332" t="s">
        <v>130</v>
      </c>
      <c r="D332">
        <v>10.531333330000001</v>
      </c>
      <c r="E332">
        <v>13.97722222</v>
      </c>
      <c r="G332">
        <v>37.996777780000002</v>
      </c>
      <c r="H332">
        <v>36.055666670000001</v>
      </c>
      <c r="J332">
        <v>405</v>
      </c>
      <c r="K332" t="s">
        <v>95</v>
      </c>
      <c r="L332" t="s">
        <v>15</v>
      </c>
      <c r="M332" t="s">
        <v>130</v>
      </c>
    </row>
    <row r="333" spans="1:13">
      <c r="A333" s="1">
        <v>45213</v>
      </c>
      <c r="B333" t="s">
        <v>13</v>
      </c>
      <c r="C333" t="s">
        <v>14</v>
      </c>
      <c r="D333">
        <v>6.7033333329999998</v>
      </c>
      <c r="G333">
        <v>10.68488889</v>
      </c>
      <c r="J333">
        <v>11</v>
      </c>
      <c r="K333" t="s">
        <v>18</v>
      </c>
      <c r="L333" t="s">
        <v>58</v>
      </c>
    </row>
    <row r="334" spans="1:13">
      <c r="A334" s="1">
        <v>45213</v>
      </c>
      <c r="B334" t="s">
        <v>16</v>
      </c>
      <c r="C334" t="s">
        <v>17</v>
      </c>
      <c r="D334">
        <v>63.177999999999997</v>
      </c>
      <c r="G334">
        <v>193.00422219999999</v>
      </c>
      <c r="J334">
        <v>1811</v>
      </c>
      <c r="K334" t="s">
        <v>84</v>
      </c>
      <c r="L334" t="s">
        <v>151</v>
      </c>
    </row>
    <row r="335" spans="1:13">
      <c r="A335" s="1">
        <v>45213</v>
      </c>
      <c r="B335" t="s">
        <v>20</v>
      </c>
      <c r="C335" t="s">
        <v>21</v>
      </c>
      <c r="J335" t="s">
        <v>22</v>
      </c>
      <c r="K335" t="s">
        <v>22</v>
      </c>
      <c r="L335" t="s">
        <v>22</v>
      </c>
    </row>
    <row r="336" spans="1:13">
      <c r="A336" s="1">
        <v>45213</v>
      </c>
      <c r="B336" t="s">
        <v>23</v>
      </c>
      <c r="C336" t="s">
        <v>24</v>
      </c>
      <c r="D336">
        <v>21.055</v>
      </c>
      <c r="G336">
        <v>57.805333330000003</v>
      </c>
      <c r="J336">
        <v>575</v>
      </c>
      <c r="K336" t="s">
        <v>18</v>
      </c>
      <c r="L336" t="s">
        <v>117</v>
      </c>
    </row>
    <row r="337" spans="1:12">
      <c r="A337" s="1">
        <v>45213</v>
      </c>
      <c r="B337" t="s">
        <v>25</v>
      </c>
      <c r="C337" t="s">
        <v>26</v>
      </c>
      <c r="D337">
        <v>8.5777777779999997</v>
      </c>
      <c r="G337">
        <v>12.92977778</v>
      </c>
      <c r="J337">
        <v>39</v>
      </c>
      <c r="K337" t="s">
        <v>15</v>
      </c>
      <c r="L337" t="s">
        <v>15</v>
      </c>
    </row>
    <row r="338" spans="1:12">
      <c r="A338" s="1">
        <v>45213</v>
      </c>
      <c r="B338" t="s">
        <v>27</v>
      </c>
      <c r="C338" t="s">
        <v>28</v>
      </c>
      <c r="J338" t="s">
        <v>22</v>
      </c>
      <c r="K338" t="s">
        <v>22</v>
      </c>
      <c r="L338" t="s">
        <v>22</v>
      </c>
    </row>
    <row r="339" spans="1:12">
      <c r="A339" s="1">
        <v>45213</v>
      </c>
      <c r="B339" t="s">
        <v>29</v>
      </c>
      <c r="C339" t="s">
        <v>30</v>
      </c>
      <c r="J339" t="s">
        <v>22</v>
      </c>
      <c r="K339" t="s">
        <v>22</v>
      </c>
      <c r="L339" t="s">
        <v>22</v>
      </c>
    </row>
    <row r="340" spans="1:12">
      <c r="A340" s="1">
        <v>45213</v>
      </c>
      <c r="B340" t="s">
        <v>31</v>
      </c>
      <c r="C340" t="s">
        <v>32</v>
      </c>
      <c r="J340" t="s">
        <v>22</v>
      </c>
      <c r="K340" t="s">
        <v>22</v>
      </c>
      <c r="L340" t="s">
        <v>22</v>
      </c>
    </row>
    <row r="341" spans="1:12">
      <c r="A341" s="1">
        <v>45213</v>
      </c>
      <c r="B341" t="s">
        <v>33</v>
      </c>
      <c r="C341" t="s">
        <v>34</v>
      </c>
      <c r="J341" t="s">
        <v>22</v>
      </c>
      <c r="K341" t="s">
        <v>22</v>
      </c>
      <c r="L341" t="s">
        <v>22</v>
      </c>
    </row>
    <row r="342" spans="1:12">
      <c r="A342" s="1">
        <v>45213</v>
      </c>
      <c r="B342" t="s">
        <v>35</v>
      </c>
      <c r="C342" t="s">
        <v>36</v>
      </c>
      <c r="D342">
        <v>59.32</v>
      </c>
      <c r="G342">
        <v>108.7614444</v>
      </c>
      <c r="J342">
        <v>79</v>
      </c>
      <c r="K342" t="s">
        <v>15</v>
      </c>
      <c r="L342" t="s">
        <v>15</v>
      </c>
    </row>
    <row r="343" spans="1:12">
      <c r="A343" s="1">
        <v>45213</v>
      </c>
      <c r="B343" t="s">
        <v>37</v>
      </c>
      <c r="C343" t="s">
        <v>38</v>
      </c>
      <c r="J343" t="s">
        <v>22</v>
      </c>
      <c r="K343" t="s">
        <v>22</v>
      </c>
      <c r="L343" t="s">
        <v>22</v>
      </c>
    </row>
    <row r="344" spans="1:12">
      <c r="A344" s="1">
        <v>45213</v>
      </c>
      <c r="B344" t="s">
        <v>39</v>
      </c>
      <c r="C344" t="s">
        <v>40</v>
      </c>
      <c r="D344">
        <v>70.647333329999995</v>
      </c>
      <c r="G344">
        <v>36.24</v>
      </c>
      <c r="J344">
        <v>43</v>
      </c>
      <c r="K344" t="s">
        <v>15</v>
      </c>
      <c r="L344" t="s">
        <v>15</v>
      </c>
    </row>
    <row r="345" spans="1:12">
      <c r="A345" s="1">
        <v>45213</v>
      </c>
      <c r="B345" t="s">
        <v>41</v>
      </c>
      <c r="C345" t="s">
        <v>42</v>
      </c>
      <c r="J345" t="s">
        <v>22</v>
      </c>
      <c r="K345" t="s">
        <v>22</v>
      </c>
      <c r="L345" t="s">
        <v>22</v>
      </c>
    </row>
    <row r="346" spans="1:12">
      <c r="A346" s="1">
        <v>45213</v>
      </c>
      <c r="B346" t="s">
        <v>43</v>
      </c>
      <c r="C346" t="s">
        <v>44</v>
      </c>
      <c r="D346">
        <v>63.024444440000003</v>
      </c>
      <c r="G346">
        <v>24.691555560000001</v>
      </c>
      <c r="J346">
        <v>890</v>
      </c>
      <c r="K346" t="s">
        <v>96</v>
      </c>
      <c r="L346" t="s">
        <v>152</v>
      </c>
    </row>
    <row r="347" spans="1:12">
      <c r="A347" s="1">
        <v>45213</v>
      </c>
      <c r="B347" t="s">
        <v>45</v>
      </c>
      <c r="C347" t="s">
        <v>46</v>
      </c>
      <c r="D347">
        <v>36.209444439999999</v>
      </c>
      <c r="G347">
        <v>34.908999999999999</v>
      </c>
      <c r="J347">
        <v>398</v>
      </c>
      <c r="K347" t="s">
        <v>84</v>
      </c>
      <c r="L347" t="s">
        <v>153</v>
      </c>
    </row>
    <row r="348" spans="1:12">
      <c r="A348" s="1">
        <v>45213</v>
      </c>
      <c r="B348" t="s">
        <v>48</v>
      </c>
      <c r="C348" t="s">
        <v>49</v>
      </c>
      <c r="J348" t="s">
        <v>22</v>
      </c>
      <c r="K348" t="s">
        <v>22</v>
      </c>
      <c r="L348" t="s">
        <v>22</v>
      </c>
    </row>
    <row r="349" spans="1:12">
      <c r="A349" s="1">
        <v>45213</v>
      </c>
      <c r="B349" t="s">
        <v>50</v>
      </c>
      <c r="C349" t="s">
        <v>51</v>
      </c>
      <c r="D349">
        <v>15.735222220000001</v>
      </c>
      <c r="G349">
        <v>19.756111109999999</v>
      </c>
      <c r="J349">
        <v>145</v>
      </c>
      <c r="K349" t="s">
        <v>15</v>
      </c>
      <c r="L349" t="s">
        <v>15</v>
      </c>
    </row>
    <row r="350" spans="1:12">
      <c r="A350" s="1">
        <v>45213</v>
      </c>
      <c r="B350" t="s">
        <v>53</v>
      </c>
      <c r="C350" t="s">
        <v>54</v>
      </c>
      <c r="D350">
        <v>22.488555560000002</v>
      </c>
      <c r="G350">
        <v>12.54</v>
      </c>
      <c r="J350">
        <v>84</v>
      </c>
      <c r="K350" t="s">
        <v>145</v>
      </c>
      <c r="L350" t="s">
        <v>154</v>
      </c>
    </row>
    <row r="351" spans="1:12">
      <c r="A351" s="1">
        <v>45213</v>
      </c>
      <c r="B351" t="s">
        <v>56</v>
      </c>
      <c r="C351" t="s">
        <v>57</v>
      </c>
      <c r="D351">
        <v>10.102555560000001</v>
      </c>
      <c r="G351">
        <v>14.64288889</v>
      </c>
      <c r="J351">
        <v>84</v>
      </c>
      <c r="K351" t="s">
        <v>84</v>
      </c>
      <c r="L351" t="s">
        <v>155</v>
      </c>
    </row>
    <row r="352" spans="1:12">
      <c r="A352" s="1">
        <v>45213</v>
      </c>
      <c r="B352" t="s">
        <v>59</v>
      </c>
      <c r="C352" t="s">
        <v>60</v>
      </c>
      <c r="D352">
        <v>31.795222219999999</v>
      </c>
      <c r="G352">
        <v>17.756444439999999</v>
      </c>
      <c r="J352">
        <v>284</v>
      </c>
      <c r="K352" t="s">
        <v>84</v>
      </c>
      <c r="L352" t="s">
        <v>156</v>
      </c>
    </row>
    <row r="353" spans="1:13">
      <c r="A353" s="1">
        <v>45213</v>
      </c>
      <c r="B353" t="s">
        <v>61</v>
      </c>
      <c r="C353" t="s">
        <v>62</v>
      </c>
      <c r="J353" t="s">
        <v>22</v>
      </c>
      <c r="K353" t="s">
        <v>22</v>
      </c>
      <c r="L353" t="s">
        <v>22</v>
      </c>
    </row>
    <row r="354" spans="1:13">
      <c r="A354" s="1">
        <v>45213</v>
      </c>
      <c r="B354" t="s">
        <v>63</v>
      </c>
      <c r="C354" t="s">
        <v>64</v>
      </c>
      <c r="D354">
        <v>36.242222220000002</v>
      </c>
      <c r="G354">
        <v>173.80488890000001</v>
      </c>
      <c r="J354">
        <v>1558</v>
      </c>
      <c r="K354" t="s">
        <v>18</v>
      </c>
      <c r="L354" t="s">
        <v>52</v>
      </c>
    </row>
    <row r="355" spans="1:13">
      <c r="A355" s="1">
        <v>45213</v>
      </c>
      <c r="B355" t="s">
        <v>66</v>
      </c>
      <c r="C355" t="s">
        <v>67</v>
      </c>
      <c r="J355" t="s">
        <v>22</v>
      </c>
      <c r="K355" t="s">
        <v>22</v>
      </c>
      <c r="L355" t="s">
        <v>22</v>
      </c>
    </row>
    <row r="356" spans="1:13">
      <c r="A356" s="1">
        <v>45213</v>
      </c>
      <c r="B356" t="s">
        <v>68</v>
      </c>
      <c r="C356" t="s">
        <v>69</v>
      </c>
      <c r="D356">
        <v>6.9813333330000003</v>
      </c>
      <c r="G356">
        <v>17.433666670000001</v>
      </c>
      <c r="J356">
        <v>29</v>
      </c>
      <c r="K356" t="s">
        <v>15</v>
      </c>
      <c r="L356" t="s">
        <v>15</v>
      </c>
    </row>
    <row r="357" spans="1:13">
      <c r="A357" s="1">
        <v>45213</v>
      </c>
      <c r="B357" t="s">
        <v>70</v>
      </c>
      <c r="C357" t="s">
        <v>71</v>
      </c>
      <c r="D357">
        <v>24.96388889</v>
      </c>
      <c r="G357">
        <v>46.405777780000001</v>
      </c>
      <c r="J357">
        <v>117</v>
      </c>
      <c r="K357" t="s">
        <v>15</v>
      </c>
      <c r="L357" t="s">
        <v>15</v>
      </c>
    </row>
    <row r="358" spans="1:13">
      <c r="A358" s="1">
        <v>45213</v>
      </c>
      <c r="B358" t="s">
        <v>72</v>
      </c>
      <c r="C358" t="s">
        <v>73</v>
      </c>
      <c r="D358">
        <v>14.25933333</v>
      </c>
      <c r="G358">
        <v>57.71766667</v>
      </c>
      <c r="J358">
        <v>342</v>
      </c>
      <c r="K358" t="s">
        <v>18</v>
      </c>
      <c r="L358" t="s">
        <v>65</v>
      </c>
    </row>
    <row r="359" spans="1:13">
      <c r="A359" s="1">
        <v>45213</v>
      </c>
      <c r="B359" t="s">
        <v>74</v>
      </c>
      <c r="C359" t="s">
        <v>75</v>
      </c>
      <c r="D359">
        <v>22.550222219999998</v>
      </c>
      <c r="G359">
        <v>28.600777780000001</v>
      </c>
      <c r="J359">
        <v>2535</v>
      </c>
      <c r="K359" t="s">
        <v>15</v>
      </c>
      <c r="L359" t="s">
        <v>15</v>
      </c>
    </row>
    <row r="360" spans="1:13">
      <c r="A360" s="1">
        <v>45213</v>
      </c>
      <c r="B360" t="s">
        <v>79</v>
      </c>
      <c r="C360" t="s">
        <v>80</v>
      </c>
      <c r="D360">
        <v>4.4074444440000002</v>
      </c>
      <c r="G360">
        <v>10.90366667</v>
      </c>
      <c r="J360">
        <v>12</v>
      </c>
      <c r="K360" t="s">
        <v>95</v>
      </c>
      <c r="L360" t="s">
        <v>15</v>
      </c>
    </row>
    <row r="361" spans="1:13">
      <c r="A361" s="1">
        <v>45213</v>
      </c>
      <c r="B361" t="s">
        <v>90</v>
      </c>
      <c r="C361" t="s">
        <v>130</v>
      </c>
      <c r="D361">
        <v>17.277000000000001</v>
      </c>
      <c r="G361">
        <v>113.4255556</v>
      </c>
      <c r="J361">
        <v>915</v>
      </c>
      <c r="K361" t="s">
        <v>95</v>
      </c>
      <c r="L361" t="s">
        <v>15</v>
      </c>
      <c r="M361" t="s">
        <v>130</v>
      </c>
    </row>
    <row r="362" spans="1:13">
      <c r="A362" s="1">
        <v>45229</v>
      </c>
      <c r="B362" t="s">
        <v>13</v>
      </c>
      <c r="C362" t="s">
        <v>14</v>
      </c>
      <c r="D362">
        <v>1.0927777780000001</v>
      </c>
      <c r="E362">
        <v>3.312555556</v>
      </c>
      <c r="G362">
        <v>6.4643333329999999</v>
      </c>
      <c r="H362">
        <v>6.6103333329999998</v>
      </c>
      <c r="J362">
        <v>0</v>
      </c>
      <c r="K362" t="s">
        <v>22</v>
      </c>
      <c r="L362">
        <v>0</v>
      </c>
    </row>
    <row r="363" spans="1:13">
      <c r="A363" s="1">
        <v>45229</v>
      </c>
      <c r="B363" t="s">
        <v>16</v>
      </c>
      <c r="C363" t="s">
        <v>17</v>
      </c>
      <c r="D363">
        <v>22.200888890000002</v>
      </c>
      <c r="E363">
        <v>17.03088889</v>
      </c>
      <c r="G363">
        <v>86.170888890000001</v>
      </c>
      <c r="H363">
        <v>71.700888890000002</v>
      </c>
      <c r="J363">
        <v>79</v>
      </c>
      <c r="K363" t="s">
        <v>84</v>
      </c>
      <c r="L363" t="s">
        <v>157</v>
      </c>
    </row>
    <row r="364" spans="1:13">
      <c r="A364" s="1">
        <v>45229</v>
      </c>
      <c r="B364" t="s">
        <v>20</v>
      </c>
      <c r="C364" t="s">
        <v>21</v>
      </c>
      <c r="J364" t="s">
        <v>22</v>
      </c>
      <c r="K364" t="s">
        <v>22</v>
      </c>
      <c r="L364" t="s">
        <v>22</v>
      </c>
    </row>
    <row r="365" spans="1:13">
      <c r="A365" s="1">
        <v>45229</v>
      </c>
      <c r="B365" t="s">
        <v>23</v>
      </c>
      <c r="C365" t="s">
        <v>24</v>
      </c>
      <c r="D365">
        <v>23.384444439999999</v>
      </c>
      <c r="E365">
        <v>6.834333333</v>
      </c>
      <c r="G365">
        <v>64.155111110000007</v>
      </c>
      <c r="H365">
        <v>9.4832222220000002</v>
      </c>
      <c r="J365">
        <v>369</v>
      </c>
      <c r="K365" t="s">
        <v>18</v>
      </c>
      <c r="L365" t="s">
        <v>158</v>
      </c>
    </row>
    <row r="366" spans="1:13">
      <c r="A366" s="1">
        <v>45229</v>
      </c>
      <c r="B366" t="s">
        <v>25</v>
      </c>
      <c r="C366" t="s">
        <v>26</v>
      </c>
      <c r="D366">
        <v>0.98566666700000005</v>
      </c>
      <c r="E366">
        <v>3.0263333330000002</v>
      </c>
      <c r="G366">
        <v>9.8402222219999995</v>
      </c>
      <c r="H366">
        <v>9.9035555560000006</v>
      </c>
      <c r="J366">
        <v>0</v>
      </c>
      <c r="K366" t="s">
        <v>22</v>
      </c>
      <c r="L366">
        <v>0</v>
      </c>
    </row>
    <row r="367" spans="1:13">
      <c r="A367" s="1">
        <v>45229</v>
      </c>
      <c r="B367" t="s">
        <v>27</v>
      </c>
      <c r="C367" t="s">
        <v>28</v>
      </c>
      <c r="J367" t="s">
        <v>22</v>
      </c>
      <c r="K367" t="s">
        <v>22</v>
      </c>
      <c r="L367" t="s">
        <v>22</v>
      </c>
    </row>
    <row r="368" spans="1:13">
      <c r="A368" s="1">
        <v>45229</v>
      </c>
      <c r="B368" t="s">
        <v>29</v>
      </c>
      <c r="C368" t="s">
        <v>30</v>
      </c>
      <c r="J368" t="s">
        <v>22</v>
      </c>
      <c r="K368" t="s">
        <v>22</v>
      </c>
      <c r="L368" t="s">
        <v>22</v>
      </c>
    </row>
    <row r="369" spans="1:12">
      <c r="A369" s="1">
        <v>45229</v>
      </c>
      <c r="B369" t="s">
        <v>31</v>
      </c>
      <c r="C369" t="s">
        <v>32</v>
      </c>
      <c r="J369" t="s">
        <v>22</v>
      </c>
      <c r="K369" t="s">
        <v>22</v>
      </c>
      <c r="L369" t="s">
        <v>22</v>
      </c>
    </row>
    <row r="370" spans="1:12">
      <c r="A370" s="1">
        <v>45229</v>
      </c>
      <c r="B370" t="s">
        <v>33</v>
      </c>
      <c r="C370" t="s">
        <v>34</v>
      </c>
      <c r="D370">
        <v>4.9706666669999997</v>
      </c>
      <c r="E370">
        <v>6.4881111110000003</v>
      </c>
      <c r="G370">
        <v>13.73588889</v>
      </c>
      <c r="H370">
        <v>14.040333329999999</v>
      </c>
      <c r="J370">
        <v>0</v>
      </c>
      <c r="K370" t="s">
        <v>22</v>
      </c>
      <c r="L370">
        <v>0</v>
      </c>
    </row>
    <row r="371" spans="1:12">
      <c r="A371" s="1">
        <v>45229</v>
      </c>
      <c r="B371" t="s">
        <v>35</v>
      </c>
      <c r="C371" t="s">
        <v>36</v>
      </c>
      <c r="J371" t="s">
        <v>22</v>
      </c>
      <c r="K371" t="s">
        <v>22</v>
      </c>
      <c r="L371" t="s">
        <v>22</v>
      </c>
    </row>
    <row r="372" spans="1:12">
      <c r="A372" s="1">
        <v>45229</v>
      </c>
      <c r="B372" t="s">
        <v>37</v>
      </c>
      <c r="C372" t="s">
        <v>38</v>
      </c>
      <c r="J372" t="s">
        <v>22</v>
      </c>
      <c r="K372" t="s">
        <v>22</v>
      </c>
      <c r="L372" t="s">
        <v>22</v>
      </c>
    </row>
    <row r="373" spans="1:12">
      <c r="A373" s="1">
        <v>45229</v>
      </c>
      <c r="B373" t="s">
        <v>39</v>
      </c>
      <c r="C373" t="s">
        <v>40</v>
      </c>
      <c r="D373">
        <v>-0.26011111100000001</v>
      </c>
      <c r="E373">
        <v>1.666888889</v>
      </c>
      <c r="G373">
        <v>4.3550000000000004</v>
      </c>
      <c r="H373">
        <v>7.7773333329999996</v>
      </c>
      <c r="J373">
        <v>17</v>
      </c>
      <c r="K373" t="s">
        <v>15</v>
      </c>
      <c r="L373" t="s">
        <v>15</v>
      </c>
    </row>
    <row r="374" spans="1:12">
      <c r="A374" s="1">
        <v>45229</v>
      </c>
      <c r="B374" t="s">
        <v>41</v>
      </c>
      <c r="C374" t="s">
        <v>42</v>
      </c>
      <c r="J374" t="s">
        <v>22</v>
      </c>
      <c r="K374" t="s">
        <v>22</v>
      </c>
      <c r="L374" t="s">
        <v>22</v>
      </c>
    </row>
    <row r="375" spans="1:12">
      <c r="A375" s="1">
        <v>45229</v>
      </c>
      <c r="B375" t="s">
        <v>43</v>
      </c>
      <c r="C375" t="s">
        <v>44</v>
      </c>
      <c r="D375">
        <v>60.457777780000001</v>
      </c>
      <c r="E375">
        <v>13.28</v>
      </c>
      <c r="G375">
        <v>21.635999999999999</v>
      </c>
      <c r="H375">
        <v>15.977111109999999</v>
      </c>
      <c r="J375">
        <v>226</v>
      </c>
      <c r="K375" t="s">
        <v>84</v>
      </c>
      <c r="L375" t="s">
        <v>159</v>
      </c>
    </row>
    <row r="376" spans="1:12">
      <c r="A376" s="1">
        <v>45229</v>
      </c>
      <c r="B376" t="s">
        <v>45</v>
      </c>
      <c r="C376" t="s">
        <v>46</v>
      </c>
      <c r="D376">
        <v>29.330888890000001</v>
      </c>
      <c r="E376">
        <v>17.316444440000001</v>
      </c>
      <c r="G376">
        <v>21.86222222</v>
      </c>
      <c r="H376">
        <v>19.921111109999998</v>
      </c>
      <c r="J376">
        <v>296</v>
      </c>
      <c r="K376" t="s">
        <v>84</v>
      </c>
      <c r="L376" t="s">
        <v>160</v>
      </c>
    </row>
    <row r="377" spans="1:12">
      <c r="A377" s="1">
        <v>45229</v>
      </c>
      <c r="B377" t="s">
        <v>48</v>
      </c>
      <c r="C377" t="s">
        <v>49</v>
      </c>
      <c r="D377">
        <v>3.8692222219999999</v>
      </c>
      <c r="E377">
        <v>3.2970000000000002</v>
      </c>
      <c r="G377">
        <v>13.65944444</v>
      </c>
      <c r="H377">
        <v>14.095000000000001</v>
      </c>
      <c r="J377">
        <v>20</v>
      </c>
      <c r="K377" t="s">
        <v>18</v>
      </c>
      <c r="L377" t="s">
        <v>55</v>
      </c>
    </row>
    <row r="378" spans="1:12">
      <c r="A378" s="1">
        <v>45229</v>
      </c>
      <c r="B378" t="s">
        <v>50</v>
      </c>
      <c r="C378" t="s">
        <v>51</v>
      </c>
      <c r="D378">
        <v>22.879222219999999</v>
      </c>
      <c r="E378">
        <v>12.89255556</v>
      </c>
      <c r="G378">
        <v>47.593111110000002</v>
      </c>
      <c r="H378">
        <v>25.46088889</v>
      </c>
      <c r="J378">
        <v>0</v>
      </c>
      <c r="K378" t="s">
        <v>22</v>
      </c>
      <c r="L378">
        <v>0</v>
      </c>
    </row>
    <row r="379" spans="1:12">
      <c r="A379" s="1">
        <v>45229</v>
      </c>
      <c r="B379" t="s">
        <v>53</v>
      </c>
      <c r="C379" t="s">
        <v>54</v>
      </c>
      <c r="D379">
        <v>5.769111111</v>
      </c>
      <c r="E379">
        <v>6.4477777779999998</v>
      </c>
      <c r="G379">
        <v>10.01111111</v>
      </c>
      <c r="H379">
        <v>8.6407777780000004</v>
      </c>
      <c r="J379">
        <v>0</v>
      </c>
      <c r="K379" t="s">
        <v>22</v>
      </c>
      <c r="L379">
        <v>0</v>
      </c>
    </row>
    <row r="380" spans="1:12">
      <c r="A380" s="1">
        <v>45229</v>
      </c>
      <c r="B380" t="s">
        <v>56</v>
      </c>
      <c r="C380" t="s">
        <v>57</v>
      </c>
      <c r="D380">
        <v>4.4855555560000004</v>
      </c>
      <c r="E380">
        <v>4.5734444439999997</v>
      </c>
      <c r="G380">
        <v>13.68677778</v>
      </c>
      <c r="H380">
        <v>11.820111109999999</v>
      </c>
      <c r="J380">
        <v>39</v>
      </c>
      <c r="K380" t="s">
        <v>18</v>
      </c>
      <c r="L380" t="s">
        <v>65</v>
      </c>
    </row>
    <row r="381" spans="1:12">
      <c r="A381" s="1">
        <v>45229</v>
      </c>
      <c r="B381" t="s">
        <v>59</v>
      </c>
      <c r="C381" t="s">
        <v>60</v>
      </c>
      <c r="D381">
        <v>26.717333329999999</v>
      </c>
      <c r="E381">
        <v>4.2762222220000004</v>
      </c>
      <c r="G381">
        <v>15.908666670000001</v>
      </c>
      <c r="H381">
        <v>12.97422222</v>
      </c>
      <c r="J381">
        <v>149</v>
      </c>
      <c r="K381" t="s">
        <v>84</v>
      </c>
      <c r="L381" t="s">
        <v>55</v>
      </c>
    </row>
    <row r="382" spans="1:12">
      <c r="A382" s="1">
        <v>45229</v>
      </c>
      <c r="B382" t="s">
        <v>61</v>
      </c>
      <c r="C382" t="s">
        <v>62</v>
      </c>
      <c r="D382">
        <v>5.9738888890000004</v>
      </c>
      <c r="E382">
        <v>7.3609999999999998</v>
      </c>
      <c r="G382">
        <v>8.4602222220000005</v>
      </c>
      <c r="H382">
        <v>9.8136666669999997</v>
      </c>
      <c r="J382">
        <v>50</v>
      </c>
      <c r="K382" t="s">
        <v>18</v>
      </c>
      <c r="L382" t="s">
        <v>58</v>
      </c>
    </row>
    <row r="383" spans="1:12">
      <c r="A383" s="1">
        <v>45229</v>
      </c>
      <c r="B383" t="s">
        <v>63</v>
      </c>
      <c r="C383" t="s">
        <v>64</v>
      </c>
      <c r="D383">
        <v>18.720111110000001</v>
      </c>
      <c r="E383">
        <v>11.716777779999999</v>
      </c>
      <c r="G383">
        <v>112.7396667</v>
      </c>
      <c r="H383">
        <v>81.420777779999995</v>
      </c>
      <c r="J383">
        <v>896</v>
      </c>
      <c r="K383" t="s">
        <v>18</v>
      </c>
      <c r="L383" t="s">
        <v>52</v>
      </c>
    </row>
    <row r="384" spans="1:12">
      <c r="A384" s="1">
        <v>45229</v>
      </c>
      <c r="B384" t="s">
        <v>66</v>
      </c>
      <c r="C384" t="s">
        <v>67</v>
      </c>
      <c r="D384">
        <v>8.5004444439999993</v>
      </c>
      <c r="E384">
        <v>8.0131111110000006</v>
      </c>
      <c r="G384">
        <v>11.591333329999999</v>
      </c>
      <c r="H384">
        <v>8.7698888890000006</v>
      </c>
      <c r="J384">
        <v>0</v>
      </c>
      <c r="K384" t="s">
        <v>22</v>
      </c>
      <c r="L384">
        <v>0</v>
      </c>
    </row>
    <row r="385" spans="1:13">
      <c r="A385" s="1">
        <v>45229</v>
      </c>
      <c r="B385" t="s">
        <v>68</v>
      </c>
      <c r="C385" t="s">
        <v>69</v>
      </c>
      <c r="D385">
        <v>1.673</v>
      </c>
      <c r="E385">
        <v>0.483555556</v>
      </c>
      <c r="G385">
        <v>10.311666669999999</v>
      </c>
      <c r="H385">
        <v>9.8783333330000005</v>
      </c>
      <c r="J385">
        <v>0</v>
      </c>
      <c r="K385" t="s">
        <v>22</v>
      </c>
      <c r="L385">
        <v>0</v>
      </c>
    </row>
    <row r="386" spans="1:13">
      <c r="A386" s="1">
        <v>45229</v>
      </c>
      <c r="B386" t="s">
        <v>70</v>
      </c>
      <c r="C386" t="s">
        <v>71</v>
      </c>
      <c r="D386">
        <v>19.604888890000002</v>
      </c>
      <c r="E386">
        <v>5.1636666670000002</v>
      </c>
      <c r="G386">
        <v>36.713999999999999</v>
      </c>
      <c r="H386">
        <v>16.002888890000001</v>
      </c>
      <c r="J386">
        <v>177</v>
      </c>
      <c r="K386" t="s">
        <v>15</v>
      </c>
      <c r="L386" t="s">
        <v>15</v>
      </c>
    </row>
    <row r="387" spans="1:13">
      <c r="A387" s="1">
        <v>45229</v>
      </c>
      <c r="B387" t="s">
        <v>72</v>
      </c>
      <c r="C387" t="s">
        <v>73</v>
      </c>
      <c r="D387">
        <v>4.8106666669999996</v>
      </c>
      <c r="E387">
        <v>6.3101111110000003</v>
      </c>
      <c r="G387">
        <v>44.561111109999999</v>
      </c>
      <c r="H387">
        <v>19.276666670000001</v>
      </c>
      <c r="J387">
        <v>176</v>
      </c>
      <c r="K387" t="s">
        <v>15</v>
      </c>
      <c r="L387" t="s">
        <v>15</v>
      </c>
    </row>
    <row r="388" spans="1:13">
      <c r="A388" s="1">
        <v>45229</v>
      </c>
      <c r="B388" t="s">
        <v>74</v>
      </c>
      <c r="C388" t="s">
        <v>75</v>
      </c>
      <c r="J388" t="s">
        <v>22</v>
      </c>
      <c r="K388" t="s">
        <v>22</v>
      </c>
      <c r="L388" t="s">
        <v>22</v>
      </c>
    </row>
    <row r="389" spans="1:13">
      <c r="A389" s="1">
        <v>45229</v>
      </c>
      <c r="B389" t="s">
        <v>77</v>
      </c>
      <c r="C389" t="s">
        <v>78</v>
      </c>
      <c r="J389" t="s">
        <v>22</v>
      </c>
      <c r="K389" t="s">
        <v>22</v>
      </c>
      <c r="L389" t="s">
        <v>22</v>
      </c>
    </row>
    <row r="390" spans="1:13">
      <c r="A390" s="1">
        <v>45229</v>
      </c>
      <c r="B390" t="s">
        <v>79</v>
      </c>
      <c r="C390" t="s">
        <v>80</v>
      </c>
      <c r="D390">
        <v>1.8404444440000001</v>
      </c>
      <c r="E390">
        <v>0.52788888899999997</v>
      </c>
      <c r="G390">
        <v>6.2334444439999999</v>
      </c>
      <c r="H390">
        <v>5.351</v>
      </c>
      <c r="J390">
        <v>0</v>
      </c>
      <c r="K390" t="s">
        <v>22</v>
      </c>
      <c r="L390">
        <v>0</v>
      </c>
    </row>
    <row r="391" spans="1:13">
      <c r="A391" s="1">
        <v>45229</v>
      </c>
      <c r="B391" t="s">
        <v>90</v>
      </c>
      <c r="C391" t="s">
        <v>130</v>
      </c>
      <c r="D391">
        <v>15.685444439999999</v>
      </c>
      <c r="E391">
        <v>13.672111109999999</v>
      </c>
      <c r="G391">
        <v>135.83199999999999</v>
      </c>
      <c r="H391">
        <v>119.032</v>
      </c>
      <c r="J391">
        <v>473</v>
      </c>
      <c r="K391" t="s">
        <v>95</v>
      </c>
      <c r="L391" t="s">
        <v>15</v>
      </c>
      <c r="M39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A7EC-E3B9-3342-A234-8FD6F6731934}">
  <dimension ref="A1:AU392"/>
  <sheetViews>
    <sheetView zoomScale="160" zoomScaleNormal="160" workbookViewId="0">
      <selection activeCell="B3" sqref="B3"/>
    </sheetView>
  </sheetViews>
  <sheetFormatPr defaultColWidth="11" defaultRowHeight="15.95"/>
  <cols>
    <col min="1" max="1" width="5.625" bestFit="1" customWidth="1"/>
    <col min="2" max="2" width="8.875" bestFit="1" customWidth="1"/>
    <col min="3" max="3" width="19.625" bestFit="1" customWidth="1"/>
    <col min="4" max="4" width="14.125" bestFit="1" customWidth="1"/>
    <col min="5" max="5" width="95.375" bestFit="1" customWidth="1"/>
    <col min="9" max="9" width="53" customWidth="1"/>
    <col min="10" max="21" width="5.875" customWidth="1"/>
    <col min="25" max="25" width="13" customWidth="1"/>
    <col min="27" max="27" width="18.625" bestFit="1" customWidth="1"/>
    <col min="29" max="29" width="22.875" customWidth="1"/>
  </cols>
  <sheetData>
    <row r="1" spans="1:26">
      <c r="J1">
        <f t="shared" ref="J1:O1" si="0">COUNTA(J4:J392)-COUNTIF(J4:J392,"NA")</f>
        <v>45</v>
      </c>
      <c r="K1">
        <f t="shared" si="0"/>
        <v>107</v>
      </c>
      <c r="L1">
        <f t="shared" si="0"/>
        <v>41</v>
      </c>
      <c r="M1">
        <f t="shared" si="0"/>
        <v>52</v>
      </c>
      <c r="N1">
        <f t="shared" si="0"/>
        <v>9</v>
      </c>
      <c r="O1">
        <f t="shared" si="0"/>
        <v>28</v>
      </c>
      <c r="Y1" t="s">
        <v>161</v>
      </c>
      <c r="Z1" t="s">
        <v>162</v>
      </c>
    </row>
    <row r="2" spans="1:26">
      <c r="Y2">
        <f>COUNTIF(P4:P392,6)</f>
        <v>0</v>
      </c>
      <c r="Z2">
        <f>COUNTA(P4:P392)-Y2</f>
        <v>389</v>
      </c>
    </row>
    <row r="3" spans="1:26">
      <c r="A3" s="2" t="s">
        <v>163</v>
      </c>
      <c r="B3" s="2" t="s">
        <v>0</v>
      </c>
      <c r="C3" s="2" t="s">
        <v>1</v>
      </c>
      <c r="D3" s="2" t="s">
        <v>2</v>
      </c>
      <c r="E3" s="2" t="s">
        <v>11</v>
      </c>
      <c r="F3" s="2" t="s">
        <v>0</v>
      </c>
      <c r="G3" s="2" t="s">
        <v>1</v>
      </c>
      <c r="H3" s="2" t="s">
        <v>2</v>
      </c>
      <c r="I3" s="2" t="s">
        <v>11</v>
      </c>
      <c r="J3" s="2" t="s">
        <v>164</v>
      </c>
      <c r="K3" s="2" t="s">
        <v>144</v>
      </c>
      <c r="L3" s="2" t="s">
        <v>129</v>
      </c>
      <c r="M3" s="2" t="s">
        <v>165</v>
      </c>
      <c r="N3" s="2" t="s">
        <v>166</v>
      </c>
      <c r="O3" s="2" t="s">
        <v>167</v>
      </c>
      <c r="P3" s="2" t="s">
        <v>161</v>
      </c>
      <c r="Q3" s="2" t="s">
        <v>168</v>
      </c>
      <c r="R3" s="2" t="s">
        <v>169</v>
      </c>
      <c r="S3" s="2" t="s">
        <v>170</v>
      </c>
      <c r="T3" s="2" t="s">
        <v>171</v>
      </c>
      <c r="U3" s="2" t="s">
        <v>172</v>
      </c>
    </row>
    <row r="4" spans="1:26">
      <c r="A4">
        <v>198</v>
      </c>
      <c r="B4" s="1">
        <v>45145</v>
      </c>
      <c r="C4" t="s">
        <v>53</v>
      </c>
      <c r="D4" t="s">
        <v>54</v>
      </c>
      <c r="E4" t="s">
        <v>119</v>
      </c>
      <c r="F4" s="1">
        <v>45145</v>
      </c>
      <c r="G4" t="s">
        <v>53</v>
      </c>
      <c r="H4" t="s">
        <v>54</v>
      </c>
      <c r="I4" t="s">
        <v>119</v>
      </c>
      <c r="J4">
        <v>10</v>
      </c>
      <c r="K4">
        <v>60</v>
      </c>
      <c r="L4">
        <v>10</v>
      </c>
      <c r="M4">
        <v>20</v>
      </c>
      <c r="N4" t="s">
        <v>22</v>
      </c>
      <c r="O4">
        <v>0</v>
      </c>
      <c r="P4" s="3">
        <f>COUNTA(J4:O4)-COUNTIF(J4:O4,"NA")</f>
        <v>5</v>
      </c>
      <c r="Q4">
        <f t="shared" ref="Q4:Q67" si="1">IF(NOT(J4="NA"),1,"NA")</f>
        <v>1</v>
      </c>
      <c r="R4">
        <f t="shared" ref="R4:R67" si="2">IF(NOT(L4="NA"),1,"NA")</f>
        <v>1</v>
      </c>
      <c r="S4" t="str">
        <f t="shared" ref="S4:S67" si="3">IF(NOT(N4="NA"),1,"NA")</f>
        <v>NA</v>
      </c>
      <c r="T4">
        <f t="shared" ref="T4:T67" si="4">IF(NOT(O4="NA"),1,"NA")</f>
        <v>1</v>
      </c>
      <c r="U4">
        <f t="shared" ref="U4:U67" si="5">SUM(Q4:T4)</f>
        <v>3</v>
      </c>
      <c r="V4" t="s">
        <v>173</v>
      </c>
      <c r="Z4">
        <f>SUM(Z6:Z11)</f>
        <v>93</v>
      </c>
    </row>
    <row r="5" spans="1:26">
      <c r="A5">
        <v>288</v>
      </c>
      <c r="B5" s="1">
        <v>45185</v>
      </c>
      <c r="C5" t="s">
        <v>53</v>
      </c>
      <c r="D5" t="s">
        <v>54</v>
      </c>
      <c r="E5" t="s">
        <v>138</v>
      </c>
      <c r="F5" s="1">
        <v>45185</v>
      </c>
      <c r="G5" t="s">
        <v>53</v>
      </c>
      <c r="H5" t="s">
        <v>54</v>
      </c>
      <c r="I5" t="s">
        <v>138</v>
      </c>
      <c r="J5">
        <v>10</v>
      </c>
      <c r="K5">
        <v>60</v>
      </c>
      <c r="L5">
        <v>15</v>
      </c>
      <c r="M5">
        <v>15</v>
      </c>
      <c r="N5" t="s">
        <v>22</v>
      </c>
      <c r="O5">
        <v>0</v>
      </c>
      <c r="P5" s="3">
        <f t="shared" ref="P5:P68" si="6">COUNTA(J5:O5)-COUNTIF(J5:O5,"NA")</f>
        <v>5</v>
      </c>
      <c r="Q5">
        <f t="shared" si="1"/>
        <v>1</v>
      </c>
      <c r="R5">
        <f t="shared" si="2"/>
        <v>1</v>
      </c>
      <c r="S5" t="str">
        <f t="shared" si="3"/>
        <v>NA</v>
      </c>
      <c r="T5">
        <f t="shared" si="4"/>
        <v>1</v>
      </c>
      <c r="U5">
        <f t="shared" si="5"/>
        <v>3</v>
      </c>
      <c r="V5" t="s">
        <v>173</v>
      </c>
      <c r="X5" s="2" t="s">
        <v>174</v>
      </c>
      <c r="Y5" s="2" t="s">
        <v>175</v>
      </c>
      <c r="Z5" s="2" t="s">
        <v>176</v>
      </c>
    </row>
    <row r="6" spans="1:26">
      <c r="A6">
        <v>208</v>
      </c>
      <c r="B6" s="1">
        <v>45145</v>
      </c>
      <c r="C6" t="s">
        <v>77</v>
      </c>
      <c r="D6" t="s">
        <v>78</v>
      </c>
      <c r="E6" t="s">
        <v>121</v>
      </c>
      <c r="F6" s="1">
        <v>45145</v>
      </c>
      <c r="G6" t="s">
        <v>77</v>
      </c>
      <c r="H6" t="s">
        <v>78</v>
      </c>
      <c r="I6" t="s">
        <v>121</v>
      </c>
      <c r="J6">
        <v>25</v>
      </c>
      <c r="K6" t="s">
        <v>22</v>
      </c>
      <c r="L6" t="s">
        <v>22</v>
      </c>
      <c r="M6" t="s">
        <v>22</v>
      </c>
      <c r="N6">
        <v>50</v>
      </c>
      <c r="O6">
        <v>25</v>
      </c>
      <c r="P6" s="3">
        <f t="shared" si="6"/>
        <v>3</v>
      </c>
      <c r="Q6">
        <f t="shared" si="1"/>
        <v>1</v>
      </c>
      <c r="R6" t="str">
        <f t="shared" si="2"/>
        <v>NA</v>
      </c>
      <c r="S6">
        <f t="shared" si="3"/>
        <v>1</v>
      </c>
      <c r="T6">
        <f t="shared" si="4"/>
        <v>1</v>
      </c>
      <c r="U6">
        <f t="shared" si="5"/>
        <v>3</v>
      </c>
      <c r="X6">
        <v>1</v>
      </c>
      <c r="Y6">
        <f>COUNTIF(P$4:P$392,$X6)</f>
        <v>71</v>
      </c>
      <c r="Z6">
        <f t="shared" ref="Z6:Z11" si="7">COUNTIF(U$4:U$392,X6)</f>
        <v>66</v>
      </c>
    </row>
    <row r="7" spans="1:26">
      <c r="A7">
        <v>166</v>
      </c>
      <c r="B7" s="1">
        <v>45129</v>
      </c>
      <c r="C7" t="s">
        <v>48</v>
      </c>
      <c r="D7" t="s">
        <v>49</v>
      </c>
      <c r="E7" t="s">
        <v>107</v>
      </c>
      <c r="F7" s="1">
        <v>45129</v>
      </c>
      <c r="G7" t="s">
        <v>48</v>
      </c>
      <c r="H7" t="s">
        <v>49</v>
      </c>
      <c r="I7" t="s">
        <v>107</v>
      </c>
      <c r="J7">
        <v>50</v>
      </c>
      <c r="K7">
        <v>25</v>
      </c>
      <c r="L7">
        <v>25</v>
      </c>
      <c r="M7" t="s">
        <v>22</v>
      </c>
      <c r="N7" t="s">
        <v>22</v>
      </c>
      <c r="O7" t="s">
        <v>22</v>
      </c>
      <c r="P7" s="3">
        <f t="shared" si="6"/>
        <v>3</v>
      </c>
      <c r="Q7">
        <f t="shared" si="1"/>
        <v>1</v>
      </c>
      <c r="R7">
        <f t="shared" si="2"/>
        <v>1</v>
      </c>
      <c r="S7" t="str">
        <f t="shared" si="3"/>
        <v>NA</v>
      </c>
      <c r="T7" t="str">
        <f t="shared" si="4"/>
        <v>NA</v>
      </c>
      <c r="U7">
        <f t="shared" si="5"/>
        <v>2</v>
      </c>
      <c r="X7">
        <v>2</v>
      </c>
      <c r="Y7">
        <f t="shared" ref="Y7:Y11" si="8">COUNTIF(P$4:P$392,$X7)</f>
        <v>46</v>
      </c>
      <c r="Z7">
        <f t="shared" si="7"/>
        <v>24</v>
      </c>
    </row>
    <row r="8" spans="1:26">
      <c r="A8">
        <v>182</v>
      </c>
      <c r="B8" s="1">
        <v>45145</v>
      </c>
      <c r="C8" t="s">
        <v>16</v>
      </c>
      <c r="D8" t="s">
        <v>17</v>
      </c>
      <c r="E8" t="s">
        <v>107</v>
      </c>
      <c r="F8" s="1">
        <v>45145</v>
      </c>
      <c r="G8" t="s">
        <v>16</v>
      </c>
      <c r="H8" t="s">
        <v>17</v>
      </c>
      <c r="I8" t="s">
        <v>107</v>
      </c>
      <c r="J8">
        <v>50</v>
      </c>
      <c r="K8">
        <v>25</v>
      </c>
      <c r="L8">
        <v>25</v>
      </c>
      <c r="M8" t="s">
        <v>22</v>
      </c>
      <c r="N8" t="s">
        <v>22</v>
      </c>
      <c r="O8" t="s">
        <v>22</v>
      </c>
      <c r="P8" s="3">
        <f t="shared" si="6"/>
        <v>3</v>
      </c>
      <c r="Q8">
        <f t="shared" si="1"/>
        <v>1</v>
      </c>
      <c r="R8">
        <f t="shared" si="2"/>
        <v>1</v>
      </c>
      <c r="S8" t="str">
        <f t="shared" si="3"/>
        <v>NA</v>
      </c>
      <c r="T8" t="str">
        <f t="shared" si="4"/>
        <v>NA</v>
      </c>
      <c r="U8">
        <f t="shared" si="5"/>
        <v>2</v>
      </c>
      <c r="X8">
        <v>3</v>
      </c>
      <c r="Y8">
        <f t="shared" si="8"/>
        <v>27</v>
      </c>
      <c r="Z8">
        <f t="shared" si="7"/>
        <v>3</v>
      </c>
    </row>
    <row r="9" spans="1:26">
      <c r="A9">
        <v>196</v>
      </c>
      <c r="B9" s="1">
        <v>45145</v>
      </c>
      <c r="C9" t="s">
        <v>48</v>
      </c>
      <c r="D9" t="s">
        <v>49</v>
      </c>
      <c r="E9" t="s">
        <v>118</v>
      </c>
      <c r="F9" s="1">
        <v>45145</v>
      </c>
      <c r="G9" t="s">
        <v>48</v>
      </c>
      <c r="H9" t="s">
        <v>49</v>
      </c>
      <c r="I9" t="s">
        <v>118</v>
      </c>
      <c r="J9">
        <v>25</v>
      </c>
      <c r="K9">
        <v>25</v>
      </c>
      <c r="L9">
        <v>50</v>
      </c>
      <c r="M9" t="s">
        <v>22</v>
      </c>
      <c r="N9" t="s">
        <v>22</v>
      </c>
      <c r="O9" t="s">
        <v>22</v>
      </c>
      <c r="P9" s="3">
        <f t="shared" si="6"/>
        <v>3</v>
      </c>
      <c r="Q9">
        <f t="shared" si="1"/>
        <v>1</v>
      </c>
      <c r="R9">
        <f t="shared" si="2"/>
        <v>1</v>
      </c>
      <c r="S9" t="str">
        <f t="shared" si="3"/>
        <v>NA</v>
      </c>
      <c r="T9" t="str">
        <f t="shared" si="4"/>
        <v>NA</v>
      </c>
      <c r="U9">
        <f t="shared" si="5"/>
        <v>2</v>
      </c>
      <c r="X9">
        <v>4</v>
      </c>
      <c r="Y9">
        <f t="shared" si="8"/>
        <v>7</v>
      </c>
      <c r="Z9">
        <f t="shared" si="7"/>
        <v>0</v>
      </c>
    </row>
    <row r="10" spans="1:26">
      <c r="A10">
        <v>212</v>
      </c>
      <c r="B10" s="1">
        <v>45157</v>
      </c>
      <c r="C10" t="s">
        <v>16</v>
      </c>
      <c r="D10" t="s">
        <v>17</v>
      </c>
      <c r="E10" t="s">
        <v>122</v>
      </c>
      <c r="F10" s="1">
        <v>45157</v>
      </c>
      <c r="G10" t="s">
        <v>16</v>
      </c>
      <c r="H10" t="s">
        <v>17</v>
      </c>
      <c r="I10" t="s">
        <v>122</v>
      </c>
      <c r="J10">
        <v>85</v>
      </c>
      <c r="K10">
        <v>5</v>
      </c>
      <c r="L10">
        <v>5</v>
      </c>
      <c r="M10" t="s">
        <v>22</v>
      </c>
      <c r="N10" t="s">
        <v>22</v>
      </c>
      <c r="O10" t="s">
        <v>22</v>
      </c>
      <c r="P10" s="3">
        <f t="shared" si="6"/>
        <v>3</v>
      </c>
      <c r="Q10">
        <f t="shared" si="1"/>
        <v>1</v>
      </c>
      <c r="R10">
        <f t="shared" si="2"/>
        <v>1</v>
      </c>
      <c r="S10" t="str">
        <f t="shared" si="3"/>
        <v>NA</v>
      </c>
      <c r="T10" t="str">
        <f t="shared" si="4"/>
        <v>NA</v>
      </c>
      <c r="U10">
        <f t="shared" si="5"/>
        <v>2</v>
      </c>
      <c r="X10">
        <v>5</v>
      </c>
      <c r="Y10">
        <f t="shared" si="8"/>
        <v>2</v>
      </c>
      <c r="Z10">
        <f t="shared" si="7"/>
        <v>0</v>
      </c>
    </row>
    <row r="11" spans="1:26">
      <c r="A11">
        <v>242</v>
      </c>
      <c r="B11" s="1">
        <v>45174</v>
      </c>
      <c r="C11" t="s">
        <v>16</v>
      </c>
      <c r="D11" t="s">
        <v>17</v>
      </c>
      <c r="E11" t="s">
        <v>131</v>
      </c>
      <c r="F11" s="1">
        <v>45174</v>
      </c>
      <c r="G11" t="s">
        <v>16</v>
      </c>
      <c r="H11" t="s">
        <v>17</v>
      </c>
      <c r="I11" t="s">
        <v>131</v>
      </c>
      <c r="J11">
        <v>75</v>
      </c>
      <c r="K11" t="s">
        <v>22</v>
      </c>
      <c r="L11">
        <v>20</v>
      </c>
      <c r="M11">
        <v>5</v>
      </c>
      <c r="N11" t="s">
        <v>22</v>
      </c>
      <c r="O11" t="s">
        <v>22</v>
      </c>
      <c r="P11" s="3">
        <f t="shared" si="6"/>
        <v>3</v>
      </c>
      <c r="Q11">
        <f t="shared" si="1"/>
        <v>1</v>
      </c>
      <c r="R11">
        <f t="shared" si="2"/>
        <v>1</v>
      </c>
      <c r="S11" t="str">
        <f t="shared" si="3"/>
        <v>NA</v>
      </c>
      <c r="T11" t="str">
        <f t="shared" si="4"/>
        <v>NA</v>
      </c>
      <c r="U11">
        <f t="shared" si="5"/>
        <v>2</v>
      </c>
      <c r="X11">
        <v>6</v>
      </c>
      <c r="Y11">
        <f t="shared" si="8"/>
        <v>0</v>
      </c>
      <c r="Z11">
        <f t="shared" si="7"/>
        <v>0</v>
      </c>
    </row>
    <row r="12" spans="1:26">
      <c r="A12">
        <v>292</v>
      </c>
      <c r="B12" s="1">
        <v>45185</v>
      </c>
      <c r="C12" t="s">
        <v>63</v>
      </c>
      <c r="D12" t="s">
        <v>64</v>
      </c>
      <c r="E12" t="s">
        <v>141</v>
      </c>
      <c r="F12" s="1">
        <v>45185</v>
      </c>
      <c r="G12" t="s">
        <v>63</v>
      </c>
      <c r="H12" t="s">
        <v>64</v>
      </c>
      <c r="I12" t="s">
        <v>141</v>
      </c>
      <c r="J12">
        <v>20</v>
      </c>
      <c r="K12">
        <v>75</v>
      </c>
      <c r="L12">
        <v>5</v>
      </c>
      <c r="M12" t="s">
        <v>22</v>
      </c>
      <c r="N12" t="s">
        <v>22</v>
      </c>
      <c r="O12" t="s">
        <v>22</v>
      </c>
      <c r="P12" s="3">
        <f t="shared" si="6"/>
        <v>3</v>
      </c>
      <c r="Q12">
        <f t="shared" si="1"/>
        <v>1</v>
      </c>
      <c r="R12">
        <f t="shared" si="2"/>
        <v>1</v>
      </c>
      <c r="S12" t="str">
        <f t="shared" si="3"/>
        <v>NA</v>
      </c>
      <c r="T12" t="str">
        <f t="shared" si="4"/>
        <v>NA</v>
      </c>
      <c r="U12">
        <f t="shared" si="5"/>
        <v>2</v>
      </c>
    </row>
    <row r="13" spans="1:26">
      <c r="A13">
        <v>318</v>
      </c>
      <c r="B13" s="1">
        <v>45201</v>
      </c>
      <c r="C13" t="s">
        <v>53</v>
      </c>
      <c r="D13" t="s">
        <v>54</v>
      </c>
      <c r="E13" t="s">
        <v>150</v>
      </c>
      <c r="F13" s="1">
        <v>45201</v>
      </c>
      <c r="G13" t="s">
        <v>53</v>
      </c>
      <c r="H13" t="s">
        <v>54</v>
      </c>
      <c r="I13" t="s">
        <v>150</v>
      </c>
      <c r="J13">
        <v>75</v>
      </c>
      <c r="K13">
        <v>24</v>
      </c>
      <c r="L13">
        <v>1</v>
      </c>
      <c r="M13" t="s">
        <v>22</v>
      </c>
      <c r="N13" t="s">
        <v>22</v>
      </c>
      <c r="O13" t="s">
        <v>22</v>
      </c>
      <c r="P13" s="3">
        <f t="shared" si="6"/>
        <v>3</v>
      </c>
      <c r="Q13">
        <f t="shared" si="1"/>
        <v>1</v>
      </c>
      <c r="R13">
        <f t="shared" si="2"/>
        <v>1</v>
      </c>
      <c r="S13" t="str">
        <f t="shared" si="3"/>
        <v>NA</v>
      </c>
      <c r="T13" t="str">
        <f t="shared" si="4"/>
        <v>NA</v>
      </c>
      <c r="U13">
        <f t="shared" si="5"/>
        <v>2</v>
      </c>
    </row>
    <row r="14" spans="1:26">
      <c r="A14">
        <v>332</v>
      </c>
      <c r="B14" s="1">
        <v>45213</v>
      </c>
      <c r="C14" t="s">
        <v>16</v>
      </c>
      <c r="D14" t="s">
        <v>17</v>
      </c>
      <c r="E14" t="s">
        <v>151</v>
      </c>
      <c r="F14" s="1">
        <v>45213</v>
      </c>
      <c r="G14" t="s">
        <v>16</v>
      </c>
      <c r="H14" t="s">
        <v>17</v>
      </c>
      <c r="I14" t="s">
        <v>151</v>
      </c>
      <c r="J14">
        <v>40</v>
      </c>
      <c r="K14" t="s">
        <v>22</v>
      </c>
      <c r="L14">
        <v>50</v>
      </c>
      <c r="M14">
        <v>10</v>
      </c>
      <c r="N14" t="s">
        <v>22</v>
      </c>
      <c r="O14" t="s">
        <v>22</v>
      </c>
      <c r="P14" s="3">
        <f t="shared" si="6"/>
        <v>3</v>
      </c>
      <c r="Q14">
        <f t="shared" si="1"/>
        <v>1</v>
      </c>
      <c r="R14">
        <f t="shared" si="2"/>
        <v>1</v>
      </c>
      <c r="S14" t="str">
        <f t="shared" si="3"/>
        <v>NA</v>
      </c>
      <c r="T14" t="str">
        <f t="shared" si="4"/>
        <v>NA</v>
      </c>
      <c r="U14">
        <f t="shared" si="5"/>
        <v>2</v>
      </c>
    </row>
    <row r="15" spans="1:26">
      <c r="A15">
        <v>135</v>
      </c>
      <c r="B15" s="1">
        <v>45117</v>
      </c>
      <c r="C15" t="s">
        <v>45</v>
      </c>
      <c r="D15" t="s">
        <v>46</v>
      </c>
      <c r="E15" t="s">
        <v>100</v>
      </c>
      <c r="F15" s="1">
        <v>45117</v>
      </c>
      <c r="G15" t="s">
        <v>45</v>
      </c>
      <c r="H15" t="s">
        <v>46</v>
      </c>
      <c r="I15" t="s">
        <v>100</v>
      </c>
      <c r="J15">
        <v>25</v>
      </c>
      <c r="K15">
        <v>25</v>
      </c>
      <c r="L15" t="s">
        <v>22</v>
      </c>
      <c r="M15" t="s">
        <v>22</v>
      </c>
      <c r="N15" t="s">
        <v>22</v>
      </c>
      <c r="O15">
        <v>50</v>
      </c>
      <c r="P15" s="3">
        <f t="shared" si="6"/>
        <v>3</v>
      </c>
      <c r="Q15">
        <f t="shared" si="1"/>
        <v>1</v>
      </c>
      <c r="R15" t="str">
        <f t="shared" si="2"/>
        <v>NA</v>
      </c>
      <c r="S15" t="str">
        <f t="shared" si="3"/>
        <v>NA</v>
      </c>
      <c r="T15">
        <f t="shared" si="4"/>
        <v>1</v>
      </c>
      <c r="U15">
        <f t="shared" si="5"/>
        <v>2</v>
      </c>
      <c r="V15" t="s">
        <v>173</v>
      </c>
    </row>
    <row r="16" spans="1:26">
      <c r="A16">
        <v>168</v>
      </c>
      <c r="B16" s="1">
        <v>45129</v>
      </c>
      <c r="C16" t="s">
        <v>53</v>
      </c>
      <c r="D16" t="s">
        <v>54</v>
      </c>
      <c r="E16" t="s">
        <v>108</v>
      </c>
      <c r="F16" s="1">
        <v>45129</v>
      </c>
      <c r="G16" t="s">
        <v>53</v>
      </c>
      <c r="H16" t="s">
        <v>54</v>
      </c>
      <c r="I16" t="s">
        <v>108</v>
      </c>
      <c r="J16">
        <v>25</v>
      </c>
      <c r="K16">
        <v>50</v>
      </c>
      <c r="L16" t="s">
        <v>22</v>
      </c>
      <c r="M16">
        <v>20</v>
      </c>
      <c r="N16" t="s">
        <v>22</v>
      </c>
      <c r="O16">
        <v>5</v>
      </c>
      <c r="P16" s="3">
        <f t="shared" si="6"/>
        <v>4</v>
      </c>
      <c r="Q16">
        <f t="shared" si="1"/>
        <v>1</v>
      </c>
      <c r="R16" t="str">
        <f t="shared" si="2"/>
        <v>NA</v>
      </c>
      <c r="S16" t="str">
        <f t="shared" si="3"/>
        <v>NA</v>
      </c>
      <c r="T16">
        <f t="shared" si="4"/>
        <v>1</v>
      </c>
      <c r="U16">
        <f t="shared" si="5"/>
        <v>2</v>
      </c>
      <c r="V16" t="s">
        <v>173</v>
      </c>
    </row>
    <row r="17" spans="1:45">
      <c r="A17">
        <v>194</v>
      </c>
      <c r="B17" s="1">
        <v>45145</v>
      </c>
      <c r="C17" t="s">
        <v>43</v>
      </c>
      <c r="D17" t="s">
        <v>44</v>
      </c>
      <c r="E17" t="s">
        <v>116</v>
      </c>
      <c r="F17" s="1">
        <v>45145</v>
      </c>
      <c r="G17" t="s">
        <v>43</v>
      </c>
      <c r="H17" t="s">
        <v>44</v>
      </c>
      <c r="I17" t="s">
        <v>116</v>
      </c>
      <c r="J17">
        <v>25</v>
      </c>
      <c r="K17">
        <v>50</v>
      </c>
      <c r="L17" t="s">
        <v>22</v>
      </c>
      <c r="M17">
        <v>5</v>
      </c>
      <c r="N17" t="s">
        <v>22</v>
      </c>
      <c r="O17">
        <v>20</v>
      </c>
      <c r="P17" s="3">
        <f t="shared" si="6"/>
        <v>4</v>
      </c>
      <c r="Q17">
        <f t="shared" si="1"/>
        <v>1</v>
      </c>
      <c r="R17" t="str">
        <f t="shared" si="2"/>
        <v>NA</v>
      </c>
      <c r="S17" t="str">
        <f t="shared" si="3"/>
        <v>NA</v>
      </c>
      <c r="T17">
        <f t="shared" si="4"/>
        <v>1</v>
      </c>
      <c r="U17">
        <f t="shared" si="5"/>
        <v>2</v>
      </c>
      <c r="V17" t="s">
        <v>173</v>
      </c>
    </row>
    <row r="18" spans="1:45">
      <c r="A18">
        <v>200</v>
      </c>
      <c r="B18" s="1">
        <v>45145</v>
      </c>
      <c r="C18" t="s">
        <v>59</v>
      </c>
      <c r="D18" t="s">
        <v>60</v>
      </c>
      <c r="E18" t="s">
        <v>120</v>
      </c>
      <c r="F18" s="1">
        <v>45145</v>
      </c>
      <c r="G18" t="s">
        <v>59</v>
      </c>
      <c r="H18" t="s">
        <v>60</v>
      </c>
      <c r="I18" t="s">
        <v>120</v>
      </c>
      <c r="J18">
        <v>40</v>
      </c>
      <c r="K18">
        <v>40</v>
      </c>
      <c r="L18" t="s">
        <v>22</v>
      </c>
      <c r="M18">
        <v>10</v>
      </c>
      <c r="N18" t="s">
        <v>22</v>
      </c>
      <c r="O18">
        <v>10</v>
      </c>
      <c r="P18" s="3">
        <f t="shared" si="6"/>
        <v>4</v>
      </c>
      <c r="Q18">
        <f t="shared" si="1"/>
        <v>1</v>
      </c>
      <c r="R18" t="str">
        <f t="shared" si="2"/>
        <v>NA</v>
      </c>
      <c r="S18" t="str">
        <f t="shared" si="3"/>
        <v>NA</v>
      </c>
      <c r="T18">
        <f t="shared" si="4"/>
        <v>1</v>
      </c>
      <c r="U18">
        <f t="shared" si="5"/>
        <v>2</v>
      </c>
      <c r="V18" t="s">
        <v>173</v>
      </c>
      <c r="Z18" s="2" t="s">
        <v>177</v>
      </c>
      <c r="AA18" s="2" t="s">
        <v>178</v>
      </c>
      <c r="AB18" s="2" t="s">
        <v>0</v>
      </c>
      <c r="AC18" s="2" t="s">
        <v>1</v>
      </c>
      <c r="AD18" s="2" t="s">
        <v>2</v>
      </c>
      <c r="AE18" s="2" t="s">
        <v>11</v>
      </c>
      <c r="AF18" s="2" t="s">
        <v>164</v>
      </c>
      <c r="AG18" s="2" t="s">
        <v>144</v>
      </c>
      <c r="AH18" s="2" t="s">
        <v>129</v>
      </c>
      <c r="AI18" s="2" t="s">
        <v>165</v>
      </c>
      <c r="AJ18" s="2" t="s">
        <v>166</v>
      </c>
      <c r="AK18" s="2" t="s">
        <v>167</v>
      </c>
      <c r="AL18" s="2" t="s">
        <v>161</v>
      </c>
      <c r="AM18" s="2" t="s">
        <v>168</v>
      </c>
      <c r="AN18" s="2" t="s">
        <v>169</v>
      </c>
      <c r="AO18" s="2" t="s">
        <v>170</v>
      </c>
      <c r="AP18" s="2" t="s">
        <v>171</v>
      </c>
      <c r="AQ18" s="2" t="s">
        <v>172</v>
      </c>
      <c r="AR18" s="2" t="s">
        <v>179</v>
      </c>
    </row>
    <row r="19" spans="1:45">
      <c r="A19">
        <v>228</v>
      </c>
      <c r="B19" s="1">
        <v>45157</v>
      </c>
      <c r="C19" t="s">
        <v>53</v>
      </c>
      <c r="D19" t="s">
        <v>54</v>
      </c>
      <c r="E19" t="s">
        <v>125</v>
      </c>
      <c r="F19" s="1">
        <v>45157</v>
      </c>
      <c r="G19" t="s">
        <v>53</v>
      </c>
      <c r="H19" t="s">
        <v>54</v>
      </c>
      <c r="I19" t="s">
        <v>125</v>
      </c>
      <c r="J19">
        <v>50</v>
      </c>
      <c r="K19">
        <v>25</v>
      </c>
      <c r="L19" t="s">
        <v>22</v>
      </c>
      <c r="M19" t="s">
        <v>22</v>
      </c>
      <c r="N19" t="s">
        <v>22</v>
      </c>
      <c r="O19">
        <v>0</v>
      </c>
      <c r="P19" s="3">
        <f t="shared" si="6"/>
        <v>3</v>
      </c>
      <c r="Q19">
        <f t="shared" si="1"/>
        <v>1</v>
      </c>
      <c r="R19" t="str">
        <f t="shared" si="2"/>
        <v>NA</v>
      </c>
      <c r="S19" t="str">
        <f t="shared" si="3"/>
        <v>NA</v>
      </c>
      <c r="T19">
        <f t="shared" si="4"/>
        <v>1</v>
      </c>
      <c r="U19">
        <f t="shared" si="5"/>
        <v>2</v>
      </c>
      <c r="Z19" t="str">
        <f t="shared" ref="Z19:Z46" si="9">CONCATENATE(AD19,"#",AA19)</f>
        <v>Chauncy#2023-08-07</v>
      </c>
      <c r="AA19" s="8" t="s">
        <v>180</v>
      </c>
      <c r="AB19" s="1">
        <v>45145</v>
      </c>
      <c r="AC19" t="s">
        <v>53</v>
      </c>
      <c r="AD19" t="s">
        <v>54</v>
      </c>
      <c r="AE19" t="s">
        <v>119</v>
      </c>
      <c r="AF19">
        <v>10</v>
      </c>
      <c r="AG19">
        <v>60</v>
      </c>
      <c r="AH19">
        <v>10</v>
      </c>
      <c r="AI19">
        <v>20</v>
      </c>
      <c r="AJ19" t="s">
        <v>22</v>
      </c>
      <c r="AK19">
        <v>0</v>
      </c>
      <c r="AL19" s="3">
        <v>5</v>
      </c>
      <c r="AM19">
        <v>1</v>
      </c>
      <c r="AN19">
        <v>1</v>
      </c>
      <c r="AO19" t="s">
        <v>22</v>
      </c>
      <c r="AP19">
        <v>1</v>
      </c>
      <c r="AQ19">
        <v>3</v>
      </c>
      <c r="AR19" t="s">
        <v>173</v>
      </c>
      <c r="AS19" t="e">
        <f>VLOOKUP(Z19,'folder names img count cmds'!I$4:I$651,2,FALSE)</f>
        <v>#REF!</v>
      </c>
    </row>
    <row r="20" spans="1:45">
      <c r="A20">
        <v>230</v>
      </c>
      <c r="B20" s="1">
        <v>45157</v>
      </c>
      <c r="C20" t="s">
        <v>59</v>
      </c>
      <c r="D20" t="s">
        <v>60</v>
      </c>
      <c r="E20" t="s">
        <v>126</v>
      </c>
      <c r="F20" s="1">
        <v>45157</v>
      </c>
      <c r="G20" t="s">
        <v>59</v>
      </c>
      <c r="H20" t="s">
        <v>60</v>
      </c>
      <c r="I20" t="s">
        <v>126</v>
      </c>
      <c r="J20">
        <v>75</v>
      </c>
      <c r="K20">
        <v>5</v>
      </c>
      <c r="L20" t="s">
        <v>22</v>
      </c>
      <c r="M20">
        <v>20</v>
      </c>
      <c r="N20" t="s">
        <v>22</v>
      </c>
      <c r="O20">
        <v>0</v>
      </c>
      <c r="P20" s="3">
        <f t="shared" si="6"/>
        <v>4</v>
      </c>
      <c r="Q20">
        <f t="shared" si="1"/>
        <v>1</v>
      </c>
      <c r="R20" t="str">
        <f t="shared" si="2"/>
        <v>NA</v>
      </c>
      <c r="S20" t="str">
        <f t="shared" si="3"/>
        <v>NA</v>
      </c>
      <c r="T20">
        <f t="shared" si="4"/>
        <v>1</v>
      </c>
      <c r="U20">
        <f t="shared" si="5"/>
        <v>2</v>
      </c>
      <c r="V20" t="s">
        <v>173</v>
      </c>
      <c r="Z20" t="str">
        <f t="shared" si="9"/>
        <v>Chauncy#2023-09-16</v>
      </c>
      <c r="AA20" s="8" t="s">
        <v>181</v>
      </c>
      <c r="AB20" s="1">
        <v>45185</v>
      </c>
      <c r="AC20" t="s">
        <v>53</v>
      </c>
      <c r="AD20" t="s">
        <v>54</v>
      </c>
      <c r="AE20" t="s">
        <v>138</v>
      </c>
      <c r="AF20">
        <v>10</v>
      </c>
      <c r="AG20">
        <v>60</v>
      </c>
      <c r="AH20">
        <v>15</v>
      </c>
      <c r="AI20">
        <v>15</v>
      </c>
      <c r="AJ20" t="s">
        <v>22</v>
      </c>
      <c r="AK20">
        <v>0</v>
      </c>
      <c r="AL20" s="3">
        <v>5</v>
      </c>
      <c r="AM20">
        <v>1</v>
      </c>
      <c r="AN20">
        <v>1</v>
      </c>
      <c r="AO20" t="s">
        <v>22</v>
      </c>
      <c r="AP20">
        <v>1</v>
      </c>
      <c r="AQ20">
        <v>3</v>
      </c>
      <c r="AR20" t="s">
        <v>173</v>
      </c>
      <c r="AS20" t="e">
        <f>VLOOKUP(Z20,'folder names img count cmds'!I$4:I$651,2,FALSE)</f>
        <v>#REF!</v>
      </c>
    </row>
    <row r="21" spans="1:45">
      <c r="A21">
        <v>244</v>
      </c>
      <c r="B21" s="1">
        <v>45174</v>
      </c>
      <c r="C21" t="s">
        <v>23</v>
      </c>
      <c r="D21" t="s">
        <v>24</v>
      </c>
      <c r="E21" t="s">
        <v>132</v>
      </c>
      <c r="F21" s="1">
        <v>45174</v>
      </c>
      <c r="G21" t="s">
        <v>23</v>
      </c>
      <c r="H21" t="s">
        <v>24</v>
      </c>
      <c r="I21" t="s">
        <v>132</v>
      </c>
      <c r="J21">
        <v>45</v>
      </c>
      <c r="K21">
        <v>50</v>
      </c>
      <c r="L21" t="s">
        <v>22</v>
      </c>
      <c r="M21" t="s">
        <v>22</v>
      </c>
      <c r="N21" t="s">
        <v>22</v>
      </c>
      <c r="O21">
        <v>5</v>
      </c>
      <c r="P21" s="3">
        <f t="shared" si="6"/>
        <v>3</v>
      </c>
      <c r="Q21">
        <f t="shared" si="1"/>
        <v>1</v>
      </c>
      <c r="R21" t="str">
        <f t="shared" si="2"/>
        <v>NA</v>
      </c>
      <c r="S21" t="str">
        <f t="shared" si="3"/>
        <v>NA</v>
      </c>
      <c r="T21">
        <f t="shared" si="4"/>
        <v>1</v>
      </c>
      <c r="U21">
        <f t="shared" si="5"/>
        <v>2</v>
      </c>
      <c r="Z21" t="str">
        <f t="shared" si="9"/>
        <v>Indian#2023-07-10</v>
      </c>
      <c r="AA21" s="8" t="s">
        <v>182</v>
      </c>
      <c r="AB21" s="1">
        <v>45117</v>
      </c>
      <c r="AC21" t="s">
        <v>45</v>
      </c>
      <c r="AD21" t="s">
        <v>46</v>
      </c>
      <c r="AE21" t="s">
        <v>100</v>
      </c>
      <c r="AF21">
        <v>25</v>
      </c>
      <c r="AG21">
        <v>25</v>
      </c>
      <c r="AH21" t="s">
        <v>22</v>
      </c>
      <c r="AI21" t="s">
        <v>22</v>
      </c>
      <c r="AJ21" t="s">
        <v>22</v>
      </c>
      <c r="AK21">
        <v>50</v>
      </c>
      <c r="AL21" s="3">
        <v>3</v>
      </c>
      <c r="AM21">
        <v>1</v>
      </c>
      <c r="AN21" t="s">
        <v>22</v>
      </c>
      <c r="AO21" t="s">
        <v>22</v>
      </c>
      <c r="AP21">
        <v>1</v>
      </c>
      <c r="AQ21">
        <v>2</v>
      </c>
      <c r="AR21" t="s">
        <v>173</v>
      </c>
      <c r="AS21" t="e">
        <f>VLOOKUP(Z21,'folder names img count cmds'!I$4:I$651,2,FALSE)</f>
        <v>#REF!</v>
      </c>
    </row>
    <row r="22" spans="1:45">
      <c r="A22">
        <v>260</v>
      </c>
      <c r="B22" s="1">
        <v>45174</v>
      </c>
      <c r="C22" t="s">
        <v>59</v>
      </c>
      <c r="D22" t="s">
        <v>60</v>
      </c>
      <c r="E22" t="s">
        <v>134</v>
      </c>
      <c r="F22" s="1">
        <v>45174</v>
      </c>
      <c r="G22" t="s">
        <v>59</v>
      </c>
      <c r="H22" t="s">
        <v>60</v>
      </c>
      <c r="I22" t="s">
        <v>134</v>
      </c>
      <c r="J22">
        <v>75</v>
      </c>
      <c r="K22">
        <v>5</v>
      </c>
      <c r="L22" t="s">
        <v>22</v>
      </c>
      <c r="M22">
        <v>15</v>
      </c>
      <c r="N22" t="s">
        <v>22</v>
      </c>
      <c r="O22">
        <v>5</v>
      </c>
      <c r="P22" s="3">
        <f t="shared" si="6"/>
        <v>4</v>
      </c>
      <c r="Q22">
        <f t="shared" si="1"/>
        <v>1</v>
      </c>
      <c r="R22" t="str">
        <f t="shared" si="2"/>
        <v>NA</v>
      </c>
      <c r="S22" t="str">
        <f t="shared" si="3"/>
        <v>NA</v>
      </c>
      <c r="T22">
        <f t="shared" si="4"/>
        <v>1</v>
      </c>
      <c r="U22">
        <f t="shared" si="5"/>
        <v>2</v>
      </c>
      <c r="V22" t="s">
        <v>173</v>
      </c>
      <c r="Z22" t="str">
        <f t="shared" si="9"/>
        <v>Chauncy#2023-07-22</v>
      </c>
      <c r="AA22" s="8" t="s">
        <v>183</v>
      </c>
      <c r="AB22" s="1">
        <v>45129</v>
      </c>
      <c r="AC22" t="s">
        <v>53</v>
      </c>
      <c r="AD22" t="s">
        <v>54</v>
      </c>
      <c r="AE22" t="s">
        <v>108</v>
      </c>
      <c r="AF22">
        <v>25</v>
      </c>
      <c r="AG22">
        <v>50</v>
      </c>
      <c r="AH22" t="s">
        <v>22</v>
      </c>
      <c r="AI22">
        <v>20</v>
      </c>
      <c r="AJ22" t="s">
        <v>22</v>
      </c>
      <c r="AK22">
        <v>5</v>
      </c>
      <c r="AL22" s="3">
        <v>4</v>
      </c>
      <c r="AM22">
        <v>1</v>
      </c>
      <c r="AN22" t="s">
        <v>22</v>
      </c>
      <c r="AO22" t="s">
        <v>22</v>
      </c>
      <c r="AP22">
        <v>1</v>
      </c>
      <c r="AQ22">
        <v>2</v>
      </c>
      <c r="AR22" t="s">
        <v>173</v>
      </c>
      <c r="AS22" t="e">
        <f>VLOOKUP(Z22,'folder names img count cmds'!I$4:I$651,2,FALSE)</f>
        <v>#REF!</v>
      </c>
    </row>
    <row r="23" spans="1:45">
      <c r="A23">
        <v>350</v>
      </c>
      <c r="B23" s="1">
        <v>45213</v>
      </c>
      <c r="C23" t="s">
        <v>59</v>
      </c>
      <c r="D23" t="s">
        <v>60</v>
      </c>
      <c r="E23" t="s">
        <v>156</v>
      </c>
      <c r="F23" s="1">
        <v>45213</v>
      </c>
      <c r="G23" t="s">
        <v>59</v>
      </c>
      <c r="H23" t="s">
        <v>60</v>
      </c>
      <c r="I23" t="s">
        <v>156</v>
      </c>
      <c r="J23">
        <v>75</v>
      </c>
      <c r="K23" t="s">
        <v>22</v>
      </c>
      <c r="L23" t="s">
        <v>22</v>
      </c>
      <c r="M23" t="s">
        <v>22</v>
      </c>
      <c r="N23" t="s">
        <v>22</v>
      </c>
      <c r="O23">
        <v>25</v>
      </c>
      <c r="P23" s="3">
        <f t="shared" si="6"/>
        <v>2</v>
      </c>
      <c r="Q23">
        <f t="shared" si="1"/>
        <v>1</v>
      </c>
      <c r="R23" t="str">
        <f t="shared" si="2"/>
        <v>NA</v>
      </c>
      <c r="S23" t="str">
        <f t="shared" si="3"/>
        <v>NA</v>
      </c>
      <c r="T23">
        <f t="shared" si="4"/>
        <v>1</v>
      </c>
      <c r="U23">
        <f t="shared" si="5"/>
        <v>2</v>
      </c>
      <c r="Z23" t="str">
        <f t="shared" si="9"/>
        <v>Green.Hill#2023-08-07</v>
      </c>
      <c r="AA23" s="8" t="s">
        <v>180</v>
      </c>
      <c r="AB23" s="1">
        <v>45145</v>
      </c>
      <c r="AC23" t="s">
        <v>43</v>
      </c>
      <c r="AD23" t="s">
        <v>44</v>
      </c>
      <c r="AE23" t="s">
        <v>116</v>
      </c>
      <c r="AF23">
        <v>25</v>
      </c>
      <c r="AG23">
        <v>50</v>
      </c>
      <c r="AH23" t="s">
        <v>22</v>
      </c>
      <c r="AI23">
        <v>5</v>
      </c>
      <c r="AJ23" t="s">
        <v>22</v>
      </c>
      <c r="AK23">
        <v>20</v>
      </c>
      <c r="AL23" s="3">
        <v>4</v>
      </c>
      <c r="AM23">
        <v>1</v>
      </c>
      <c r="AN23" t="s">
        <v>22</v>
      </c>
      <c r="AO23" t="s">
        <v>22</v>
      </c>
      <c r="AP23">
        <v>1</v>
      </c>
      <c r="AQ23">
        <v>2</v>
      </c>
      <c r="AR23" t="s">
        <v>173</v>
      </c>
      <c r="AS23" t="e">
        <f>VLOOKUP(Z23,'folder names img count cmds'!I$4:I$651,2,FALSE)</f>
        <v>#REF!</v>
      </c>
    </row>
    <row r="24" spans="1:45">
      <c r="A24">
        <v>286</v>
      </c>
      <c r="B24" s="1">
        <v>45185</v>
      </c>
      <c r="C24" t="s">
        <v>48</v>
      </c>
      <c r="D24" t="s">
        <v>49</v>
      </c>
      <c r="E24" t="s">
        <v>137</v>
      </c>
      <c r="F24" s="1">
        <v>45185</v>
      </c>
      <c r="G24" t="s">
        <v>48</v>
      </c>
      <c r="H24" t="s">
        <v>49</v>
      </c>
      <c r="I24" t="s">
        <v>137</v>
      </c>
      <c r="J24" t="s">
        <v>22</v>
      </c>
      <c r="K24" t="s">
        <v>22</v>
      </c>
      <c r="L24">
        <v>75</v>
      </c>
      <c r="M24">
        <v>5</v>
      </c>
      <c r="N24">
        <v>20</v>
      </c>
      <c r="O24" t="s">
        <v>22</v>
      </c>
      <c r="P24" s="3">
        <f t="shared" si="6"/>
        <v>3</v>
      </c>
      <c r="Q24" t="str">
        <f t="shared" si="1"/>
        <v>NA</v>
      </c>
      <c r="R24">
        <f t="shared" si="2"/>
        <v>1</v>
      </c>
      <c r="S24">
        <f t="shared" si="3"/>
        <v>1</v>
      </c>
      <c r="T24" t="str">
        <f t="shared" si="4"/>
        <v>NA</v>
      </c>
      <c r="U24">
        <f t="shared" si="5"/>
        <v>2</v>
      </c>
      <c r="V24" t="s">
        <v>173</v>
      </c>
      <c r="Z24" t="str">
        <f t="shared" si="9"/>
        <v>Quinsigamond#2023-08-07</v>
      </c>
      <c r="AA24" s="8" t="s">
        <v>180</v>
      </c>
      <c r="AB24" s="1">
        <v>45145</v>
      </c>
      <c r="AC24" t="s">
        <v>59</v>
      </c>
      <c r="AD24" t="s">
        <v>60</v>
      </c>
      <c r="AE24" t="s">
        <v>120</v>
      </c>
      <c r="AF24">
        <v>40</v>
      </c>
      <c r="AG24">
        <v>40</v>
      </c>
      <c r="AH24" t="s">
        <v>22</v>
      </c>
      <c r="AI24">
        <v>10</v>
      </c>
      <c r="AJ24" t="s">
        <v>22</v>
      </c>
      <c r="AK24">
        <v>10</v>
      </c>
      <c r="AL24" s="3">
        <v>4</v>
      </c>
      <c r="AM24">
        <v>1</v>
      </c>
      <c r="AN24" t="s">
        <v>22</v>
      </c>
      <c r="AO24" t="s">
        <v>22</v>
      </c>
      <c r="AP24">
        <v>1</v>
      </c>
      <c r="AQ24">
        <v>2</v>
      </c>
      <c r="AR24" t="s">
        <v>173</v>
      </c>
      <c r="AS24" t="e">
        <f>VLOOKUP(Z24,'folder names img count cmds'!I$4:I$651,2,FALSE)</f>
        <v>#REF!</v>
      </c>
    </row>
    <row r="25" spans="1:45">
      <c r="A25">
        <v>225</v>
      </c>
      <c r="B25" s="1">
        <v>45157</v>
      </c>
      <c r="C25" t="s">
        <v>45</v>
      </c>
      <c r="D25" t="s">
        <v>46</v>
      </c>
      <c r="E25" t="s">
        <v>124</v>
      </c>
      <c r="F25" s="1">
        <v>45157</v>
      </c>
      <c r="G25" t="s">
        <v>45</v>
      </c>
      <c r="H25" t="s">
        <v>46</v>
      </c>
      <c r="I25" t="s">
        <v>124</v>
      </c>
      <c r="J25" t="s">
        <v>22</v>
      </c>
      <c r="K25">
        <v>15</v>
      </c>
      <c r="L25">
        <v>15</v>
      </c>
      <c r="M25">
        <v>70</v>
      </c>
      <c r="N25" t="s">
        <v>22</v>
      </c>
      <c r="O25">
        <v>0</v>
      </c>
      <c r="P25" s="3">
        <f t="shared" si="6"/>
        <v>4</v>
      </c>
      <c r="Q25" t="str">
        <f t="shared" si="1"/>
        <v>NA</v>
      </c>
      <c r="R25">
        <f t="shared" si="2"/>
        <v>1</v>
      </c>
      <c r="S25" t="str">
        <f t="shared" si="3"/>
        <v>NA</v>
      </c>
      <c r="T25">
        <f t="shared" si="4"/>
        <v>1</v>
      </c>
      <c r="U25">
        <f t="shared" si="5"/>
        <v>2</v>
      </c>
      <c r="V25" t="s">
        <v>173</v>
      </c>
      <c r="Z25" t="str">
        <f t="shared" si="9"/>
        <v>Quinsigamond#2023-08-19</v>
      </c>
      <c r="AA25" s="8" t="s">
        <v>184</v>
      </c>
      <c r="AB25" s="1">
        <v>45157</v>
      </c>
      <c r="AC25" t="s">
        <v>59</v>
      </c>
      <c r="AD25" t="s">
        <v>60</v>
      </c>
      <c r="AE25" t="s">
        <v>126</v>
      </c>
      <c r="AF25">
        <v>75</v>
      </c>
      <c r="AG25">
        <v>5</v>
      </c>
      <c r="AH25" t="s">
        <v>22</v>
      </c>
      <c r="AI25">
        <v>20</v>
      </c>
      <c r="AJ25" t="s">
        <v>22</v>
      </c>
      <c r="AK25">
        <v>0</v>
      </c>
      <c r="AL25" s="3">
        <v>4</v>
      </c>
      <c r="AM25">
        <v>1</v>
      </c>
      <c r="AN25" t="s">
        <v>22</v>
      </c>
      <c r="AO25" t="s">
        <v>22</v>
      </c>
      <c r="AP25">
        <v>1</v>
      </c>
      <c r="AQ25">
        <v>2</v>
      </c>
      <c r="AR25" t="s">
        <v>173</v>
      </c>
      <c r="AS25" t="e">
        <f>VLOOKUP(Z25,'folder names img count cmds'!I$4:I$651,2,FALSE)</f>
        <v>#REF!</v>
      </c>
    </row>
    <row r="26" spans="1:45">
      <c r="A26">
        <v>285</v>
      </c>
      <c r="B26" s="1">
        <v>45185</v>
      </c>
      <c r="C26" t="s">
        <v>45</v>
      </c>
      <c r="D26" t="s">
        <v>46</v>
      </c>
      <c r="E26" t="s">
        <v>136</v>
      </c>
      <c r="F26" s="1">
        <v>45185</v>
      </c>
      <c r="G26" t="s">
        <v>45</v>
      </c>
      <c r="H26" t="s">
        <v>46</v>
      </c>
      <c r="I26" t="s">
        <v>136</v>
      </c>
      <c r="J26" t="s">
        <v>22</v>
      </c>
      <c r="K26" t="s">
        <v>22</v>
      </c>
      <c r="L26">
        <v>10</v>
      </c>
      <c r="M26">
        <v>85</v>
      </c>
      <c r="N26" t="s">
        <v>22</v>
      </c>
      <c r="O26">
        <v>5</v>
      </c>
      <c r="P26" s="3">
        <f t="shared" si="6"/>
        <v>3</v>
      </c>
      <c r="Q26" t="str">
        <f t="shared" si="1"/>
        <v>NA</v>
      </c>
      <c r="R26">
        <f t="shared" si="2"/>
        <v>1</v>
      </c>
      <c r="S26" t="str">
        <f t="shared" si="3"/>
        <v>NA</v>
      </c>
      <c r="T26">
        <f t="shared" si="4"/>
        <v>1</v>
      </c>
      <c r="U26">
        <f t="shared" si="5"/>
        <v>2</v>
      </c>
      <c r="Z26" t="str">
        <f t="shared" si="9"/>
        <v>Quinsigamond#2023-09-05</v>
      </c>
      <c r="AA26" s="8" t="s">
        <v>185</v>
      </c>
      <c r="AB26" s="1">
        <v>45174</v>
      </c>
      <c r="AC26" t="s">
        <v>59</v>
      </c>
      <c r="AD26" t="s">
        <v>60</v>
      </c>
      <c r="AE26" t="s">
        <v>134</v>
      </c>
      <c r="AF26">
        <v>75</v>
      </c>
      <c r="AG26">
        <v>5</v>
      </c>
      <c r="AH26" t="s">
        <v>22</v>
      </c>
      <c r="AI26">
        <v>15</v>
      </c>
      <c r="AJ26" t="s">
        <v>22</v>
      </c>
      <c r="AK26">
        <v>5</v>
      </c>
      <c r="AL26" s="3">
        <v>4</v>
      </c>
      <c r="AM26">
        <v>1</v>
      </c>
      <c r="AN26" t="s">
        <v>22</v>
      </c>
      <c r="AO26" t="s">
        <v>22</v>
      </c>
      <c r="AP26">
        <v>1</v>
      </c>
      <c r="AQ26">
        <v>2</v>
      </c>
      <c r="AR26" t="s">
        <v>173</v>
      </c>
      <c r="AS26" t="e">
        <f>VLOOKUP(Z26,'folder names img count cmds'!I$4:I$651,2,FALSE)</f>
        <v>#REF!</v>
      </c>
    </row>
    <row r="27" spans="1:45">
      <c r="A27">
        <v>344</v>
      </c>
      <c r="B27" s="1">
        <v>45213</v>
      </c>
      <c r="C27" t="s">
        <v>43</v>
      </c>
      <c r="D27" t="s">
        <v>44</v>
      </c>
      <c r="E27" t="s">
        <v>152</v>
      </c>
      <c r="F27" s="1">
        <v>45213</v>
      </c>
      <c r="G27" t="s">
        <v>43</v>
      </c>
      <c r="H27" t="s">
        <v>44</v>
      </c>
      <c r="I27" t="s">
        <v>152</v>
      </c>
      <c r="J27" t="s">
        <v>22</v>
      </c>
      <c r="K27">
        <v>40</v>
      </c>
      <c r="L27">
        <v>10</v>
      </c>
      <c r="M27" t="s">
        <v>22</v>
      </c>
      <c r="N27" t="s">
        <v>22</v>
      </c>
      <c r="O27">
        <v>50</v>
      </c>
      <c r="P27" s="3">
        <f t="shared" si="6"/>
        <v>3</v>
      </c>
      <c r="Q27" t="str">
        <f t="shared" si="1"/>
        <v>NA</v>
      </c>
      <c r="R27">
        <f t="shared" si="2"/>
        <v>1</v>
      </c>
      <c r="S27" t="str">
        <f t="shared" si="3"/>
        <v>NA</v>
      </c>
      <c r="T27">
        <f t="shared" si="4"/>
        <v>1</v>
      </c>
      <c r="U27">
        <f t="shared" si="5"/>
        <v>2</v>
      </c>
      <c r="V27" t="s">
        <v>173</v>
      </c>
      <c r="Z27" t="str">
        <f t="shared" si="9"/>
        <v>Jordan#2023-09-16</v>
      </c>
      <c r="AA27" s="8" t="s">
        <v>181</v>
      </c>
      <c r="AB27" s="1">
        <v>45185</v>
      </c>
      <c r="AC27" t="s">
        <v>48</v>
      </c>
      <c r="AD27" t="s">
        <v>49</v>
      </c>
      <c r="AE27" t="s">
        <v>137</v>
      </c>
      <c r="AF27" t="s">
        <v>22</v>
      </c>
      <c r="AG27" t="s">
        <v>22</v>
      </c>
      <c r="AH27">
        <v>75</v>
      </c>
      <c r="AI27">
        <v>5</v>
      </c>
      <c r="AJ27">
        <v>20</v>
      </c>
      <c r="AK27" t="s">
        <v>22</v>
      </c>
      <c r="AL27" s="3">
        <v>3</v>
      </c>
      <c r="AM27" t="s">
        <v>22</v>
      </c>
      <c r="AN27">
        <v>1</v>
      </c>
      <c r="AO27">
        <v>1</v>
      </c>
      <c r="AP27" t="s">
        <v>22</v>
      </c>
      <c r="AQ27">
        <v>2</v>
      </c>
      <c r="AR27" t="s">
        <v>173</v>
      </c>
      <c r="AS27" t="e">
        <f>VLOOKUP(Z27,'folder names img count cmds'!I$4:I$651,2,FALSE)</f>
        <v>#N/A</v>
      </c>
    </row>
    <row r="28" spans="1:45">
      <c r="A28">
        <v>345</v>
      </c>
      <c r="B28" s="1">
        <v>45213</v>
      </c>
      <c r="C28" t="s">
        <v>45</v>
      </c>
      <c r="D28" t="s">
        <v>46</v>
      </c>
      <c r="E28" t="s">
        <v>153</v>
      </c>
      <c r="F28" s="1">
        <v>45213</v>
      </c>
      <c r="G28" t="s">
        <v>45</v>
      </c>
      <c r="H28" t="s">
        <v>46</v>
      </c>
      <c r="I28" t="s">
        <v>153</v>
      </c>
      <c r="J28" t="s">
        <v>22</v>
      </c>
      <c r="K28">
        <v>20</v>
      </c>
      <c r="L28">
        <v>5</v>
      </c>
      <c r="M28">
        <v>50</v>
      </c>
      <c r="N28" t="s">
        <v>22</v>
      </c>
      <c r="O28">
        <v>25</v>
      </c>
      <c r="P28" s="3">
        <f t="shared" si="6"/>
        <v>4</v>
      </c>
      <c r="Q28" t="str">
        <f t="shared" si="1"/>
        <v>NA</v>
      </c>
      <c r="R28">
        <f t="shared" si="2"/>
        <v>1</v>
      </c>
      <c r="S28" t="str">
        <f t="shared" si="3"/>
        <v>NA</v>
      </c>
      <c r="T28">
        <f t="shared" si="4"/>
        <v>1</v>
      </c>
      <c r="U28">
        <f t="shared" si="5"/>
        <v>2</v>
      </c>
      <c r="V28" t="s">
        <v>173</v>
      </c>
      <c r="Z28" t="str">
        <f t="shared" si="9"/>
        <v>Indian#2023-08-19</v>
      </c>
      <c r="AA28" s="8" t="s">
        <v>184</v>
      </c>
      <c r="AB28" s="1">
        <v>45157</v>
      </c>
      <c r="AC28" t="s">
        <v>45</v>
      </c>
      <c r="AD28" t="s">
        <v>46</v>
      </c>
      <c r="AE28" t="s">
        <v>124</v>
      </c>
      <c r="AF28" t="s">
        <v>22</v>
      </c>
      <c r="AG28">
        <v>15</v>
      </c>
      <c r="AH28">
        <v>15</v>
      </c>
      <c r="AI28">
        <v>70</v>
      </c>
      <c r="AJ28" t="s">
        <v>22</v>
      </c>
      <c r="AK28">
        <v>0</v>
      </c>
      <c r="AL28" s="3">
        <v>4</v>
      </c>
      <c r="AM28" t="s">
        <v>22</v>
      </c>
      <c r="AN28">
        <v>1</v>
      </c>
      <c r="AO28" t="s">
        <v>22</v>
      </c>
      <c r="AP28">
        <v>1</v>
      </c>
      <c r="AQ28">
        <v>2</v>
      </c>
      <c r="AR28" t="s">
        <v>173</v>
      </c>
      <c r="AS28" t="e">
        <f>VLOOKUP(Z28,'folder names img count cmds'!I$4:I$651,2,FALSE)</f>
        <v>#REF!</v>
      </c>
    </row>
    <row r="29" spans="1:45">
      <c r="A29">
        <v>373</v>
      </c>
      <c r="B29" s="1">
        <v>45229</v>
      </c>
      <c r="C29" t="s">
        <v>43</v>
      </c>
      <c r="D29" t="s">
        <v>44</v>
      </c>
      <c r="E29" t="s">
        <v>159</v>
      </c>
      <c r="F29" s="1">
        <v>45229</v>
      </c>
      <c r="G29" t="s">
        <v>43</v>
      </c>
      <c r="H29" t="s">
        <v>44</v>
      </c>
      <c r="I29" t="s">
        <v>159</v>
      </c>
      <c r="J29" t="s">
        <v>22</v>
      </c>
      <c r="K29">
        <v>75</v>
      </c>
      <c r="L29">
        <v>15</v>
      </c>
      <c r="M29" t="s">
        <v>22</v>
      </c>
      <c r="N29" t="s">
        <v>22</v>
      </c>
      <c r="O29">
        <v>10</v>
      </c>
      <c r="P29" s="3">
        <f t="shared" si="6"/>
        <v>3</v>
      </c>
      <c r="Q29" t="str">
        <f t="shared" si="1"/>
        <v>NA</v>
      </c>
      <c r="R29">
        <f t="shared" si="2"/>
        <v>1</v>
      </c>
      <c r="S29" t="str">
        <f t="shared" si="3"/>
        <v>NA</v>
      </c>
      <c r="T29">
        <f t="shared" si="4"/>
        <v>1</v>
      </c>
      <c r="U29">
        <f t="shared" si="5"/>
        <v>2</v>
      </c>
      <c r="Z29" t="str">
        <f t="shared" si="9"/>
        <v>Green.Hill#2023-10-14</v>
      </c>
      <c r="AA29" s="8" t="s">
        <v>186</v>
      </c>
      <c r="AB29" s="1">
        <v>45213</v>
      </c>
      <c r="AC29" t="s">
        <v>43</v>
      </c>
      <c r="AD29" t="s">
        <v>44</v>
      </c>
      <c r="AE29" t="s">
        <v>152</v>
      </c>
      <c r="AF29" t="s">
        <v>22</v>
      </c>
      <c r="AG29">
        <v>40</v>
      </c>
      <c r="AH29">
        <v>10</v>
      </c>
      <c r="AI29" t="s">
        <v>22</v>
      </c>
      <c r="AJ29" t="s">
        <v>22</v>
      </c>
      <c r="AK29">
        <v>50</v>
      </c>
      <c r="AL29" s="3">
        <v>3</v>
      </c>
      <c r="AM29" t="s">
        <v>22</v>
      </c>
      <c r="AN29">
        <v>1</v>
      </c>
      <c r="AO29" t="s">
        <v>22</v>
      </c>
      <c r="AP29">
        <v>1</v>
      </c>
      <c r="AQ29">
        <v>2</v>
      </c>
      <c r="AR29" t="s">
        <v>173</v>
      </c>
      <c r="AS29" t="e">
        <f>VLOOKUP(Z29,'folder names img count cmds'!I$4:I$651,2,FALSE)</f>
        <v>#REF!</v>
      </c>
    </row>
    <row r="30" spans="1:45">
      <c r="A30">
        <v>296</v>
      </c>
      <c r="B30" s="1">
        <v>45185</v>
      </c>
      <c r="C30" t="s">
        <v>72</v>
      </c>
      <c r="D30" t="s">
        <v>73</v>
      </c>
      <c r="E30" t="s">
        <v>143</v>
      </c>
      <c r="F30" s="1">
        <v>45185</v>
      </c>
      <c r="G30" t="s">
        <v>72</v>
      </c>
      <c r="H30" t="s">
        <v>73</v>
      </c>
      <c r="I30" t="s">
        <v>143</v>
      </c>
      <c r="J30" t="s">
        <v>22</v>
      </c>
      <c r="K30">
        <v>75</v>
      </c>
      <c r="L30" t="s">
        <v>22</v>
      </c>
      <c r="M30" t="s">
        <v>22</v>
      </c>
      <c r="N30">
        <v>20</v>
      </c>
      <c r="O30">
        <v>5</v>
      </c>
      <c r="P30" s="3">
        <f t="shared" si="6"/>
        <v>3</v>
      </c>
      <c r="Q30" t="str">
        <f t="shared" si="1"/>
        <v>NA</v>
      </c>
      <c r="R30" t="str">
        <f t="shared" si="2"/>
        <v>NA</v>
      </c>
      <c r="S30">
        <f t="shared" si="3"/>
        <v>1</v>
      </c>
      <c r="T30">
        <f t="shared" si="4"/>
        <v>1</v>
      </c>
      <c r="U30">
        <f t="shared" si="5"/>
        <v>2</v>
      </c>
      <c r="V30" t="s">
        <v>173</v>
      </c>
      <c r="Z30" t="str">
        <f t="shared" si="9"/>
        <v>Indian#2023-10-14</v>
      </c>
      <c r="AA30" s="8" t="s">
        <v>186</v>
      </c>
      <c r="AB30" s="1">
        <v>45213</v>
      </c>
      <c r="AC30" t="s">
        <v>45</v>
      </c>
      <c r="AD30" t="s">
        <v>46</v>
      </c>
      <c r="AE30" t="s">
        <v>153</v>
      </c>
      <c r="AF30" t="s">
        <v>22</v>
      </c>
      <c r="AG30">
        <v>20</v>
      </c>
      <c r="AH30">
        <v>5</v>
      </c>
      <c r="AI30">
        <v>50</v>
      </c>
      <c r="AJ30" t="s">
        <v>22</v>
      </c>
      <c r="AK30">
        <v>25</v>
      </c>
      <c r="AL30" s="3">
        <v>4</v>
      </c>
      <c r="AM30" t="s">
        <v>22</v>
      </c>
      <c r="AN30">
        <v>1</v>
      </c>
      <c r="AO30" t="s">
        <v>22</v>
      </c>
      <c r="AP30">
        <v>1</v>
      </c>
      <c r="AQ30">
        <v>2</v>
      </c>
      <c r="AR30" t="s">
        <v>173</v>
      </c>
      <c r="AS30" t="e">
        <f>VLOOKUP(Z30,'folder names img count cmds'!I$4:I$651,2,FALSE)</f>
        <v>#REF!</v>
      </c>
    </row>
    <row r="31" spans="1:45">
      <c r="A31">
        <v>18</v>
      </c>
      <c r="B31" s="1">
        <v>45045</v>
      </c>
      <c r="C31" t="s">
        <v>53</v>
      </c>
      <c r="D31" t="s">
        <v>54</v>
      </c>
      <c r="E31" t="s">
        <v>55</v>
      </c>
      <c r="F31" s="1">
        <v>45045</v>
      </c>
      <c r="G31" t="s">
        <v>53</v>
      </c>
      <c r="H31" t="s">
        <v>54</v>
      </c>
      <c r="I31" t="s">
        <v>55</v>
      </c>
      <c r="J31">
        <v>100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s="3">
        <f t="shared" si="6"/>
        <v>1</v>
      </c>
      <c r="Q31">
        <f t="shared" si="1"/>
        <v>1</v>
      </c>
      <c r="R31" t="str">
        <f t="shared" si="2"/>
        <v>NA</v>
      </c>
      <c r="S31" t="str">
        <f t="shared" si="3"/>
        <v>NA</v>
      </c>
      <c r="T31" t="str">
        <f t="shared" si="4"/>
        <v>NA</v>
      </c>
      <c r="U31">
        <f t="shared" si="5"/>
        <v>1</v>
      </c>
      <c r="Z31" t="str">
        <f t="shared" si="9"/>
        <v>Patch.R#2023-09-16</v>
      </c>
      <c r="AA31" s="8" t="s">
        <v>181</v>
      </c>
      <c r="AB31" s="1">
        <v>45185</v>
      </c>
      <c r="AC31" t="s">
        <v>72</v>
      </c>
      <c r="AD31" t="s">
        <v>73</v>
      </c>
      <c r="AE31" t="s">
        <v>143</v>
      </c>
      <c r="AF31" t="s">
        <v>22</v>
      </c>
      <c r="AG31">
        <v>75</v>
      </c>
      <c r="AH31" t="s">
        <v>22</v>
      </c>
      <c r="AI31" t="s">
        <v>22</v>
      </c>
      <c r="AJ31">
        <v>20</v>
      </c>
      <c r="AK31">
        <v>5</v>
      </c>
      <c r="AL31" s="3">
        <v>3</v>
      </c>
      <c r="AM31" t="s">
        <v>22</v>
      </c>
      <c r="AN31" t="s">
        <v>22</v>
      </c>
      <c r="AO31">
        <v>1</v>
      </c>
      <c r="AP31">
        <v>1</v>
      </c>
      <c r="AQ31">
        <v>2</v>
      </c>
      <c r="AR31" t="s">
        <v>173</v>
      </c>
      <c r="AS31" t="e">
        <f>VLOOKUP(Z31,'folder names img count cmds'!I$4:I$651,2,FALSE)</f>
        <v>#REF!</v>
      </c>
    </row>
    <row r="32" spans="1:45">
      <c r="A32">
        <v>62</v>
      </c>
      <c r="B32" s="1">
        <v>45073</v>
      </c>
      <c r="C32" t="s">
        <v>16</v>
      </c>
      <c r="D32" t="s">
        <v>17</v>
      </c>
      <c r="E32" t="s">
        <v>86</v>
      </c>
      <c r="F32" s="1">
        <v>45073</v>
      </c>
      <c r="G32" t="s">
        <v>16</v>
      </c>
      <c r="H32" t="s">
        <v>17</v>
      </c>
      <c r="I32" t="s">
        <v>86</v>
      </c>
      <c r="J32">
        <v>50</v>
      </c>
      <c r="K32">
        <v>50</v>
      </c>
      <c r="L32" t="s">
        <v>22</v>
      </c>
      <c r="M32" t="s">
        <v>22</v>
      </c>
      <c r="N32" t="s">
        <v>22</v>
      </c>
      <c r="O32" t="s">
        <v>22</v>
      </c>
      <c r="P32" s="3">
        <f t="shared" si="6"/>
        <v>2</v>
      </c>
      <c r="Q32">
        <f t="shared" si="1"/>
        <v>1</v>
      </c>
      <c r="R32" t="str">
        <f t="shared" si="2"/>
        <v>NA</v>
      </c>
      <c r="S32" t="str">
        <f t="shared" si="3"/>
        <v>NA</v>
      </c>
      <c r="T32" t="str">
        <f t="shared" si="4"/>
        <v>NA</v>
      </c>
      <c r="U32">
        <f t="shared" si="5"/>
        <v>1</v>
      </c>
      <c r="Z32" t="str">
        <f t="shared" si="9"/>
        <v>Quinsigamond#2023-05-15</v>
      </c>
      <c r="AA32" s="8" t="s">
        <v>187</v>
      </c>
      <c r="AB32" s="1">
        <v>45061</v>
      </c>
      <c r="AC32" t="s">
        <v>59</v>
      </c>
      <c r="AD32" t="s">
        <v>60</v>
      </c>
      <c r="AE32" t="s">
        <v>52</v>
      </c>
      <c r="AF32" t="s">
        <v>22</v>
      </c>
      <c r="AG32" t="s">
        <v>22</v>
      </c>
      <c r="AH32">
        <v>100</v>
      </c>
      <c r="AI32" t="s">
        <v>22</v>
      </c>
      <c r="AJ32" t="s">
        <v>22</v>
      </c>
      <c r="AK32" t="s">
        <v>22</v>
      </c>
      <c r="AL32" s="3">
        <v>1</v>
      </c>
      <c r="AM32" t="s">
        <v>22</v>
      </c>
      <c r="AN32">
        <v>1</v>
      </c>
      <c r="AO32" t="s">
        <v>22</v>
      </c>
      <c r="AP32" t="s">
        <v>22</v>
      </c>
      <c r="AQ32">
        <v>1</v>
      </c>
      <c r="AR32" t="s">
        <v>173</v>
      </c>
      <c r="AS32" t="e">
        <f>VLOOKUP(Z32,'folder names img count cmds'!I$4:I$651,2,FALSE)</f>
        <v>#REF!</v>
      </c>
    </row>
    <row r="33" spans="1:45">
      <c r="A33">
        <v>64</v>
      </c>
      <c r="B33" s="1">
        <v>45073</v>
      </c>
      <c r="C33" t="s">
        <v>23</v>
      </c>
      <c r="D33" t="s">
        <v>24</v>
      </c>
      <c r="E33" t="s">
        <v>86</v>
      </c>
      <c r="F33" s="1">
        <v>45073</v>
      </c>
      <c r="G33" t="s">
        <v>23</v>
      </c>
      <c r="H33" t="s">
        <v>24</v>
      </c>
      <c r="I33" t="s">
        <v>86</v>
      </c>
      <c r="J33">
        <v>50</v>
      </c>
      <c r="K33">
        <v>50</v>
      </c>
      <c r="L33" t="s">
        <v>22</v>
      </c>
      <c r="M33" t="s">
        <v>22</v>
      </c>
      <c r="N33" t="s">
        <v>22</v>
      </c>
      <c r="O33" t="s">
        <v>22</v>
      </c>
      <c r="P33" s="3">
        <f t="shared" si="6"/>
        <v>2</v>
      </c>
      <c r="Q33">
        <f t="shared" si="1"/>
        <v>1</v>
      </c>
      <c r="R33" t="str">
        <f t="shared" si="2"/>
        <v>NA</v>
      </c>
      <c r="S33" t="str">
        <f t="shared" si="3"/>
        <v>NA</v>
      </c>
      <c r="T33" t="str">
        <f t="shared" si="4"/>
        <v>NA</v>
      </c>
      <c r="U33">
        <f t="shared" si="5"/>
        <v>1</v>
      </c>
      <c r="Z33" t="str">
        <f t="shared" si="9"/>
        <v>L.Indian#2023-05-15</v>
      </c>
      <c r="AA33" s="8" t="s">
        <v>187</v>
      </c>
      <c r="AB33" s="1">
        <v>45061</v>
      </c>
      <c r="AC33" t="s">
        <v>63</v>
      </c>
      <c r="AD33" t="s">
        <v>64</v>
      </c>
      <c r="AE33" t="s">
        <v>52</v>
      </c>
      <c r="AF33" t="s">
        <v>22</v>
      </c>
      <c r="AG33" t="s">
        <v>22</v>
      </c>
      <c r="AH33">
        <v>100</v>
      </c>
      <c r="AI33" t="s">
        <v>22</v>
      </c>
      <c r="AJ33" t="s">
        <v>22</v>
      </c>
      <c r="AK33" t="s">
        <v>22</v>
      </c>
      <c r="AL33" s="3">
        <v>1</v>
      </c>
      <c r="AM33" t="s">
        <v>22</v>
      </c>
      <c r="AN33">
        <v>1</v>
      </c>
      <c r="AO33" t="s">
        <v>22</v>
      </c>
      <c r="AP33" t="s">
        <v>22</v>
      </c>
      <c r="AQ33">
        <v>1</v>
      </c>
      <c r="AR33" t="s">
        <v>173</v>
      </c>
      <c r="AS33" t="e">
        <f>VLOOKUP(Z33,'folder names img count cmds'!I$4:I$651,2,FALSE)</f>
        <v>#REF!</v>
      </c>
    </row>
    <row r="34" spans="1:45">
      <c r="A34">
        <v>94</v>
      </c>
      <c r="B34" s="1">
        <v>45089</v>
      </c>
      <c r="C34" t="s">
        <v>23</v>
      </c>
      <c r="D34" t="s">
        <v>24</v>
      </c>
      <c r="E34" t="s">
        <v>91</v>
      </c>
      <c r="F34" s="1">
        <v>45089</v>
      </c>
      <c r="G34" t="s">
        <v>23</v>
      </c>
      <c r="H34" t="s">
        <v>24</v>
      </c>
      <c r="I34" t="s">
        <v>91</v>
      </c>
      <c r="J34">
        <v>25</v>
      </c>
      <c r="K34">
        <v>75</v>
      </c>
      <c r="L34" t="s">
        <v>22</v>
      </c>
      <c r="M34" t="s">
        <v>22</v>
      </c>
      <c r="N34" t="s">
        <v>22</v>
      </c>
      <c r="O34" t="s">
        <v>22</v>
      </c>
      <c r="P34" s="3">
        <f t="shared" si="6"/>
        <v>2</v>
      </c>
      <c r="Q34">
        <f t="shared" si="1"/>
        <v>1</v>
      </c>
      <c r="R34" t="str">
        <f t="shared" si="2"/>
        <v>NA</v>
      </c>
      <c r="S34" t="str">
        <f t="shared" si="3"/>
        <v>NA</v>
      </c>
      <c r="T34" t="str">
        <f t="shared" si="4"/>
        <v>NA</v>
      </c>
      <c r="U34">
        <f t="shared" si="5"/>
        <v>1</v>
      </c>
      <c r="Z34" t="str">
        <f t="shared" si="9"/>
        <v>Indian#2023-05-27</v>
      </c>
      <c r="AA34" s="8" t="s">
        <v>188</v>
      </c>
      <c r="AB34" s="1">
        <v>45073</v>
      </c>
      <c r="AC34" t="s">
        <v>45</v>
      </c>
      <c r="AD34" t="s">
        <v>46</v>
      </c>
      <c r="AE34" t="s">
        <v>88</v>
      </c>
      <c r="AF34" t="s">
        <v>22</v>
      </c>
      <c r="AG34" t="s">
        <v>22</v>
      </c>
      <c r="AH34">
        <v>10</v>
      </c>
      <c r="AI34">
        <v>90</v>
      </c>
      <c r="AJ34" t="s">
        <v>22</v>
      </c>
      <c r="AK34" t="s">
        <v>22</v>
      </c>
      <c r="AL34" s="3">
        <v>2</v>
      </c>
      <c r="AM34" t="s">
        <v>22</v>
      </c>
      <c r="AN34">
        <v>1</v>
      </c>
      <c r="AO34" t="s">
        <v>22</v>
      </c>
      <c r="AP34" t="s">
        <v>22</v>
      </c>
      <c r="AQ34">
        <v>1</v>
      </c>
      <c r="AR34" t="s">
        <v>173</v>
      </c>
      <c r="AS34" t="e">
        <f>VLOOKUP(Z34,'folder names img count cmds'!I$4:I$651,2,FALSE)</f>
        <v>#REF!</v>
      </c>
    </row>
    <row r="35" spans="1:45">
      <c r="A35">
        <v>104</v>
      </c>
      <c r="B35" s="1">
        <v>45089</v>
      </c>
      <c r="C35" t="s">
        <v>43</v>
      </c>
      <c r="D35" t="s">
        <v>44</v>
      </c>
      <c r="E35" t="s">
        <v>55</v>
      </c>
      <c r="F35" s="1">
        <v>45089</v>
      </c>
      <c r="G35" t="s">
        <v>43</v>
      </c>
      <c r="H35" t="s">
        <v>44</v>
      </c>
      <c r="I35" t="s">
        <v>55</v>
      </c>
      <c r="J35">
        <v>100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s="3">
        <f t="shared" si="6"/>
        <v>1</v>
      </c>
      <c r="Q35">
        <f t="shared" si="1"/>
        <v>1</v>
      </c>
      <c r="R35" t="str">
        <f t="shared" si="2"/>
        <v>NA</v>
      </c>
      <c r="S35" t="str">
        <f t="shared" si="3"/>
        <v>NA</v>
      </c>
      <c r="T35" t="str">
        <f t="shared" si="4"/>
        <v>NA</v>
      </c>
      <c r="U35">
        <f t="shared" si="5"/>
        <v>1</v>
      </c>
      <c r="Z35" t="str">
        <f t="shared" si="9"/>
        <v>Salisbury#2023-05-27</v>
      </c>
      <c r="AA35" s="8" t="s">
        <v>188</v>
      </c>
      <c r="AB35" s="1">
        <v>45073</v>
      </c>
      <c r="AC35" t="s">
        <v>74</v>
      </c>
      <c r="AD35" t="s">
        <v>75</v>
      </c>
      <c r="AE35" t="s">
        <v>89</v>
      </c>
      <c r="AF35" t="s">
        <v>22</v>
      </c>
      <c r="AG35" t="s">
        <v>22</v>
      </c>
      <c r="AH35">
        <v>25</v>
      </c>
      <c r="AI35">
        <v>75</v>
      </c>
      <c r="AJ35" t="s">
        <v>22</v>
      </c>
      <c r="AK35" t="s">
        <v>22</v>
      </c>
      <c r="AL35" s="3">
        <v>2</v>
      </c>
      <c r="AM35" t="s">
        <v>22</v>
      </c>
      <c r="AN35">
        <v>1</v>
      </c>
      <c r="AO35" t="s">
        <v>22</v>
      </c>
      <c r="AP35" t="s">
        <v>22</v>
      </c>
      <c r="AQ35">
        <v>1</v>
      </c>
      <c r="AR35" t="s">
        <v>173</v>
      </c>
      <c r="AS35" t="e">
        <f>VLOOKUP(Z35,'folder names img count cmds'!I$4:I$651,2,FALSE)</f>
        <v>#REF!</v>
      </c>
    </row>
    <row r="36" spans="1:45">
      <c r="A36">
        <v>124</v>
      </c>
      <c r="B36" s="1">
        <v>45117</v>
      </c>
      <c r="C36" t="s">
        <v>23</v>
      </c>
      <c r="D36" t="s">
        <v>24</v>
      </c>
      <c r="E36" t="s">
        <v>91</v>
      </c>
      <c r="F36" s="1">
        <v>45117</v>
      </c>
      <c r="G36" t="s">
        <v>23</v>
      </c>
      <c r="H36" t="s">
        <v>24</v>
      </c>
      <c r="I36" t="s">
        <v>91</v>
      </c>
      <c r="J36">
        <v>25</v>
      </c>
      <c r="K36">
        <v>75</v>
      </c>
      <c r="L36" t="s">
        <v>22</v>
      </c>
      <c r="M36" t="s">
        <v>22</v>
      </c>
      <c r="N36" t="s">
        <v>22</v>
      </c>
      <c r="O36" t="s">
        <v>22</v>
      </c>
      <c r="P36" s="3">
        <f t="shared" si="6"/>
        <v>2</v>
      </c>
      <c r="Q36">
        <f t="shared" si="1"/>
        <v>1</v>
      </c>
      <c r="R36" t="str">
        <f t="shared" si="2"/>
        <v>NA</v>
      </c>
      <c r="S36" t="str">
        <f t="shared" si="3"/>
        <v>NA</v>
      </c>
      <c r="T36" t="str">
        <f t="shared" si="4"/>
        <v>NA</v>
      </c>
      <c r="U36">
        <f t="shared" si="5"/>
        <v>1</v>
      </c>
      <c r="Z36" t="str">
        <f t="shared" si="9"/>
        <v>Indian#2023-06-12</v>
      </c>
      <c r="AA36" s="8" t="s">
        <v>189</v>
      </c>
      <c r="AB36" s="1">
        <v>45089</v>
      </c>
      <c r="AC36" t="s">
        <v>45</v>
      </c>
      <c r="AD36" t="s">
        <v>46</v>
      </c>
      <c r="AE36" t="s">
        <v>47</v>
      </c>
      <c r="AF36" t="s">
        <v>22</v>
      </c>
      <c r="AG36" t="s">
        <v>22</v>
      </c>
      <c r="AH36">
        <v>20</v>
      </c>
      <c r="AI36">
        <v>80</v>
      </c>
      <c r="AJ36" t="s">
        <v>22</v>
      </c>
      <c r="AK36" t="s">
        <v>22</v>
      </c>
      <c r="AL36" s="3">
        <v>2</v>
      </c>
      <c r="AM36" t="s">
        <v>22</v>
      </c>
      <c r="AN36">
        <v>1</v>
      </c>
      <c r="AO36" t="s">
        <v>22</v>
      </c>
      <c r="AP36" t="s">
        <v>22</v>
      </c>
      <c r="AQ36">
        <v>1</v>
      </c>
      <c r="AR36" t="s">
        <v>173</v>
      </c>
      <c r="AS36" t="e">
        <f>VLOOKUP(Z36,'folder names img count cmds'!I$4:I$651,2,FALSE)</f>
        <v>#REF!</v>
      </c>
    </row>
    <row r="37" spans="1:45">
      <c r="A37">
        <v>136</v>
      </c>
      <c r="B37" s="1">
        <v>45117</v>
      </c>
      <c r="C37" t="s">
        <v>48</v>
      </c>
      <c r="D37" t="s">
        <v>49</v>
      </c>
      <c r="E37" t="s">
        <v>91</v>
      </c>
      <c r="F37" s="1">
        <v>45117</v>
      </c>
      <c r="G37" t="s">
        <v>48</v>
      </c>
      <c r="H37" t="s">
        <v>49</v>
      </c>
      <c r="I37" t="s">
        <v>91</v>
      </c>
      <c r="J37">
        <v>25</v>
      </c>
      <c r="K37">
        <v>75</v>
      </c>
      <c r="L37" t="s">
        <v>22</v>
      </c>
      <c r="M37" t="s">
        <v>22</v>
      </c>
      <c r="N37" t="s">
        <v>22</v>
      </c>
      <c r="O37" t="s">
        <v>22</v>
      </c>
      <c r="P37" s="3">
        <f t="shared" si="6"/>
        <v>2</v>
      </c>
      <c r="Q37">
        <f t="shared" si="1"/>
        <v>1</v>
      </c>
      <c r="R37" t="str">
        <f t="shared" si="2"/>
        <v>NA</v>
      </c>
      <c r="S37" t="str">
        <f t="shared" si="3"/>
        <v>NA</v>
      </c>
      <c r="T37" t="str">
        <f t="shared" si="4"/>
        <v>NA</v>
      </c>
      <c r="U37">
        <f t="shared" si="5"/>
        <v>1</v>
      </c>
      <c r="Z37" t="str">
        <f t="shared" si="9"/>
        <v>Lashaway#2023-07-10</v>
      </c>
      <c r="AA37" s="8" t="s">
        <v>182</v>
      </c>
      <c r="AB37" s="1">
        <v>45117</v>
      </c>
      <c r="AC37" t="s">
        <v>56</v>
      </c>
      <c r="AD37" t="s">
        <v>57</v>
      </c>
      <c r="AE37" t="s">
        <v>52</v>
      </c>
      <c r="AF37" t="s">
        <v>22</v>
      </c>
      <c r="AG37" t="s">
        <v>22</v>
      </c>
      <c r="AH37">
        <v>100</v>
      </c>
      <c r="AI37" t="s">
        <v>22</v>
      </c>
      <c r="AJ37" t="s">
        <v>22</v>
      </c>
      <c r="AK37" t="s">
        <v>22</v>
      </c>
      <c r="AL37" s="3">
        <v>1</v>
      </c>
      <c r="AM37" t="s">
        <v>22</v>
      </c>
      <c r="AN37">
        <v>1</v>
      </c>
      <c r="AO37" t="s">
        <v>22</v>
      </c>
      <c r="AP37" t="s">
        <v>22</v>
      </c>
      <c r="AQ37">
        <v>1</v>
      </c>
      <c r="AR37" t="s">
        <v>173</v>
      </c>
      <c r="AS37" t="e">
        <f>VLOOKUP(Z37,'folder names img count cmds'!I$4:I$651,2,FALSE)</f>
        <v>#REF!</v>
      </c>
    </row>
    <row r="38" spans="1:45">
      <c r="A38">
        <v>140</v>
      </c>
      <c r="B38" s="1">
        <v>45117</v>
      </c>
      <c r="C38" t="s">
        <v>59</v>
      </c>
      <c r="D38" t="s">
        <v>60</v>
      </c>
      <c r="E38" t="s">
        <v>102</v>
      </c>
      <c r="F38" s="1">
        <v>45117</v>
      </c>
      <c r="G38" t="s">
        <v>59</v>
      </c>
      <c r="H38" t="s">
        <v>60</v>
      </c>
      <c r="I38" t="s">
        <v>102</v>
      </c>
      <c r="J38">
        <v>75</v>
      </c>
      <c r="K38">
        <v>25</v>
      </c>
      <c r="L38" t="s">
        <v>22</v>
      </c>
      <c r="M38" t="s">
        <v>22</v>
      </c>
      <c r="N38" t="s">
        <v>22</v>
      </c>
      <c r="O38" t="s">
        <v>22</v>
      </c>
      <c r="P38" s="3">
        <f t="shared" si="6"/>
        <v>2</v>
      </c>
      <c r="Q38">
        <f t="shared" si="1"/>
        <v>1</v>
      </c>
      <c r="R38" t="str">
        <f t="shared" si="2"/>
        <v>NA</v>
      </c>
      <c r="S38" t="str">
        <f t="shared" si="3"/>
        <v>NA</v>
      </c>
      <c r="T38" t="str">
        <f t="shared" si="4"/>
        <v>NA</v>
      </c>
      <c r="U38">
        <f t="shared" si="5"/>
        <v>1</v>
      </c>
      <c r="Z38" t="str">
        <f t="shared" si="9"/>
        <v>Jordan#2023-09-05</v>
      </c>
      <c r="AA38" s="8" t="s">
        <v>185</v>
      </c>
      <c r="AB38" s="1">
        <v>45174</v>
      </c>
      <c r="AC38" t="s">
        <v>48</v>
      </c>
      <c r="AD38" t="s">
        <v>49</v>
      </c>
      <c r="AE38" t="s">
        <v>89</v>
      </c>
      <c r="AF38" t="s">
        <v>22</v>
      </c>
      <c r="AG38" t="s">
        <v>22</v>
      </c>
      <c r="AH38">
        <v>25</v>
      </c>
      <c r="AI38">
        <v>75</v>
      </c>
      <c r="AJ38" t="s">
        <v>22</v>
      </c>
      <c r="AK38" t="s">
        <v>22</v>
      </c>
      <c r="AL38" s="3">
        <v>2</v>
      </c>
      <c r="AM38" t="s">
        <v>22</v>
      </c>
      <c r="AN38">
        <v>1</v>
      </c>
      <c r="AO38" t="s">
        <v>22</v>
      </c>
      <c r="AP38" t="s">
        <v>22</v>
      </c>
      <c r="AQ38">
        <v>1</v>
      </c>
      <c r="AR38" t="s">
        <v>173</v>
      </c>
      <c r="AS38" t="e">
        <f>VLOOKUP(Z38,'folder names img count cmds'!I$4:I$651,2,FALSE)</f>
        <v>#REF!</v>
      </c>
    </row>
    <row r="39" spans="1:45">
      <c r="A39">
        <v>145</v>
      </c>
      <c r="B39" s="1">
        <v>45117</v>
      </c>
      <c r="C39" t="s">
        <v>70</v>
      </c>
      <c r="D39" t="s">
        <v>71</v>
      </c>
      <c r="E39" t="s">
        <v>55</v>
      </c>
      <c r="F39" s="1">
        <v>45117</v>
      </c>
      <c r="G39" t="s">
        <v>70</v>
      </c>
      <c r="H39" t="s">
        <v>71</v>
      </c>
      <c r="I39" t="s">
        <v>55</v>
      </c>
      <c r="J39">
        <v>100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s="3">
        <f t="shared" si="6"/>
        <v>1</v>
      </c>
      <c r="Q39">
        <f t="shared" si="1"/>
        <v>1</v>
      </c>
      <c r="R39" t="str">
        <f t="shared" si="2"/>
        <v>NA</v>
      </c>
      <c r="S39" t="str">
        <f t="shared" si="3"/>
        <v>NA</v>
      </c>
      <c r="T39" t="str">
        <f t="shared" si="4"/>
        <v>NA</v>
      </c>
      <c r="U39">
        <f t="shared" si="5"/>
        <v>1</v>
      </c>
      <c r="Z39" t="str">
        <f t="shared" si="9"/>
        <v>Dark.Brook#2023-07-10</v>
      </c>
      <c r="AA39" s="8" t="s">
        <v>182</v>
      </c>
      <c r="AB39" s="1">
        <v>45117</v>
      </c>
      <c r="AC39" t="s">
        <v>31</v>
      </c>
      <c r="AD39" t="s">
        <v>32</v>
      </c>
      <c r="AE39" t="s">
        <v>98</v>
      </c>
      <c r="AF39" t="s">
        <v>22</v>
      </c>
      <c r="AG39">
        <v>50</v>
      </c>
      <c r="AH39" t="s">
        <v>22</v>
      </c>
      <c r="AI39" t="s">
        <v>22</v>
      </c>
      <c r="AJ39">
        <v>50</v>
      </c>
      <c r="AK39" t="s">
        <v>22</v>
      </c>
      <c r="AL39" s="3">
        <v>2</v>
      </c>
      <c r="AM39" t="s">
        <v>22</v>
      </c>
      <c r="AN39" t="s">
        <v>22</v>
      </c>
      <c r="AO39">
        <v>1</v>
      </c>
      <c r="AP39" t="s">
        <v>22</v>
      </c>
      <c r="AQ39">
        <v>1</v>
      </c>
      <c r="AR39" t="s">
        <v>173</v>
      </c>
      <c r="AS39" t="e">
        <f>VLOOKUP(Z39,'folder names img count cmds'!I$4:I$651,2,FALSE)</f>
        <v>#N/A</v>
      </c>
    </row>
    <row r="40" spans="1:45">
      <c r="A40">
        <v>146</v>
      </c>
      <c r="B40" s="1">
        <v>45117</v>
      </c>
      <c r="C40" t="s">
        <v>72</v>
      </c>
      <c r="D40" t="s">
        <v>73</v>
      </c>
      <c r="E40" t="s">
        <v>91</v>
      </c>
      <c r="F40" s="1">
        <v>45117</v>
      </c>
      <c r="G40" t="s">
        <v>72</v>
      </c>
      <c r="H40" t="s">
        <v>73</v>
      </c>
      <c r="I40" t="s">
        <v>91</v>
      </c>
      <c r="J40">
        <v>25</v>
      </c>
      <c r="K40">
        <v>75</v>
      </c>
      <c r="L40" t="s">
        <v>22</v>
      </c>
      <c r="M40" t="s">
        <v>22</v>
      </c>
      <c r="N40" t="s">
        <v>22</v>
      </c>
      <c r="O40" t="s">
        <v>22</v>
      </c>
      <c r="P40" s="3">
        <f t="shared" si="6"/>
        <v>2</v>
      </c>
      <c r="Q40">
        <f t="shared" si="1"/>
        <v>1</v>
      </c>
      <c r="R40" t="str">
        <f t="shared" si="2"/>
        <v>NA</v>
      </c>
      <c r="S40" t="str">
        <f t="shared" si="3"/>
        <v>NA</v>
      </c>
      <c r="T40" t="str">
        <f t="shared" si="4"/>
        <v>NA</v>
      </c>
      <c r="U40">
        <f t="shared" si="5"/>
        <v>1</v>
      </c>
      <c r="Z40" t="str">
        <f t="shared" si="9"/>
        <v>Patch.P#2023-07-22</v>
      </c>
      <c r="AA40" s="8" t="s">
        <v>183</v>
      </c>
      <c r="AB40" s="1">
        <v>45129</v>
      </c>
      <c r="AC40" t="s">
        <v>70</v>
      </c>
      <c r="AD40" t="s">
        <v>71</v>
      </c>
      <c r="AE40" t="s">
        <v>110</v>
      </c>
      <c r="AF40" t="s">
        <v>22</v>
      </c>
      <c r="AG40" t="s">
        <v>22</v>
      </c>
      <c r="AH40" t="s">
        <v>22</v>
      </c>
      <c r="AI40" t="s">
        <v>22</v>
      </c>
      <c r="AJ40">
        <v>100</v>
      </c>
      <c r="AK40" t="s">
        <v>22</v>
      </c>
      <c r="AL40" s="3">
        <v>1</v>
      </c>
      <c r="AM40" t="s">
        <v>22</v>
      </c>
      <c r="AN40" t="s">
        <v>22</v>
      </c>
      <c r="AO40">
        <v>1</v>
      </c>
      <c r="AP40" t="s">
        <v>22</v>
      </c>
      <c r="AQ40">
        <v>1</v>
      </c>
      <c r="AR40" t="s">
        <v>173</v>
      </c>
      <c r="AS40" t="e">
        <f>VLOOKUP(Z40,'folder names img count cmds'!I$4:I$651,2,FALSE)</f>
        <v>#REF!</v>
      </c>
    </row>
    <row r="41" spans="1:45">
      <c r="A41">
        <v>154</v>
      </c>
      <c r="B41" s="1">
        <v>45129</v>
      </c>
      <c r="C41" t="s">
        <v>23</v>
      </c>
      <c r="D41" t="s">
        <v>24</v>
      </c>
      <c r="E41" t="s">
        <v>86</v>
      </c>
      <c r="F41" s="1">
        <v>45129</v>
      </c>
      <c r="G41" t="s">
        <v>23</v>
      </c>
      <c r="H41" t="s">
        <v>24</v>
      </c>
      <c r="I41" t="s">
        <v>86</v>
      </c>
      <c r="J41">
        <v>50</v>
      </c>
      <c r="K41">
        <v>50</v>
      </c>
      <c r="L41" t="s">
        <v>22</v>
      </c>
      <c r="M41" t="s">
        <v>22</v>
      </c>
      <c r="N41" t="s">
        <v>22</v>
      </c>
      <c r="O41" t="s">
        <v>22</v>
      </c>
      <c r="P41" s="3">
        <f t="shared" si="6"/>
        <v>2</v>
      </c>
      <c r="Q41">
        <f t="shared" si="1"/>
        <v>1</v>
      </c>
      <c r="R41" t="str">
        <f t="shared" si="2"/>
        <v>NA</v>
      </c>
      <c r="S41" t="str">
        <f t="shared" si="3"/>
        <v>NA</v>
      </c>
      <c r="T41" t="str">
        <f t="shared" si="4"/>
        <v>NA</v>
      </c>
      <c r="U41">
        <f t="shared" si="5"/>
        <v>1</v>
      </c>
      <c r="Z41" t="str">
        <f t="shared" si="9"/>
        <v>Patch.R#2023-07-22</v>
      </c>
      <c r="AA41" s="8" t="s">
        <v>183</v>
      </c>
      <c r="AB41" s="1">
        <v>45129</v>
      </c>
      <c r="AC41" t="s">
        <v>72</v>
      </c>
      <c r="AD41" t="s">
        <v>73</v>
      </c>
      <c r="AE41" t="s">
        <v>110</v>
      </c>
      <c r="AF41" t="s">
        <v>22</v>
      </c>
      <c r="AG41" t="s">
        <v>22</v>
      </c>
      <c r="AH41" t="s">
        <v>22</v>
      </c>
      <c r="AI41" t="s">
        <v>22</v>
      </c>
      <c r="AJ41">
        <v>100</v>
      </c>
      <c r="AK41" t="s">
        <v>22</v>
      </c>
      <c r="AL41" s="3">
        <v>1</v>
      </c>
      <c r="AM41" t="s">
        <v>22</v>
      </c>
      <c r="AN41" t="s">
        <v>22</v>
      </c>
      <c r="AO41">
        <v>1</v>
      </c>
      <c r="AP41" t="s">
        <v>22</v>
      </c>
      <c r="AQ41">
        <v>1</v>
      </c>
      <c r="AR41" t="s">
        <v>173</v>
      </c>
      <c r="AS41" t="e">
        <f>VLOOKUP(Z41,'folder names img count cmds'!I$4:I$651,2,FALSE)</f>
        <v>#REF!</v>
      </c>
    </row>
    <row r="42" spans="1:45">
      <c r="A42">
        <v>170</v>
      </c>
      <c r="B42" s="1">
        <v>45129</v>
      </c>
      <c r="C42" t="s">
        <v>59</v>
      </c>
      <c r="D42" t="s">
        <v>60</v>
      </c>
      <c r="E42" t="s">
        <v>109</v>
      </c>
      <c r="F42" s="1">
        <v>45129</v>
      </c>
      <c r="G42" t="s">
        <v>59</v>
      </c>
      <c r="H42" t="s">
        <v>60</v>
      </c>
      <c r="I42" t="s">
        <v>109</v>
      </c>
      <c r="J42">
        <v>50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s="3">
        <f t="shared" si="6"/>
        <v>1</v>
      </c>
      <c r="Q42">
        <f t="shared" si="1"/>
        <v>1</v>
      </c>
      <c r="R42" t="str">
        <f t="shared" si="2"/>
        <v>NA</v>
      </c>
      <c r="S42" t="str">
        <f t="shared" si="3"/>
        <v>NA</v>
      </c>
      <c r="T42" t="str">
        <f t="shared" si="4"/>
        <v>NA</v>
      </c>
      <c r="U42">
        <f t="shared" si="5"/>
        <v>1</v>
      </c>
      <c r="Z42" t="str">
        <f t="shared" si="9"/>
        <v>Patch.R#2023-08-07</v>
      </c>
      <c r="AA42" s="8" t="s">
        <v>180</v>
      </c>
      <c r="AB42" s="1">
        <v>45145</v>
      </c>
      <c r="AC42" t="s">
        <v>72</v>
      </c>
      <c r="AD42" t="s">
        <v>73</v>
      </c>
      <c r="AE42" t="s">
        <v>110</v>
      </c>
      <c r="AF42" t="s">
        <v>22</v>
      </c>
      <c r="AG42" t="s">
        <v>22</v>
      </c>
      <c r="AH42" t="s">
        <v>22</v>
      </c>
      <c r="AI42" t="s">
        <v>22</v>
      </c>
      <c r="AJ42">
        <v>100</v>
      </c>
      <c r="AK42" t="s">
        <v>22</v>
      </c>
      <c r="AL42" s="3">
        <v>1</v>
      </c>
      <c r="AM42" t="s">
        <v>22</v>
      </c>
      <c r="AN42" t="s">
        <v>22</v>
      </c>
      <c r="AO42">
        <v>1</v>
      </c>
      <c r="AP42" t="s">
        <v>22</v>
      </c>
      <c r="AQ42">
        <v>1</v>
      </c>
      <c r="AR42" t="s">
        <v>173</v>
      </c>
      <c r="AS42" t="e">
        <f>VLOOKUP(Z42,'folder names img count cmds'!I$4:I$651,2,FALSE)</f>
        <v>#REF!</v>
      </c>
    </row>
    <row r="43" spans="1:45">
      <c r="A43">
        <v>172</v>
      </c>
      <c r="B43" s="1">
        <v>45129</v>
      </c>
      <c r="C43" t="s">
        <v>63</v>
      </c>
      <c r="D43" t="s">
        <v>64</v>
      </c>
      <c r="E43" t="s">
        <v>55</v>
      </c>
      <c r="F43" s="1">
        <v>45129</v>
      </c>
      <c r="G43" t="s">
        <v>63</v>
      </c>
      <c r="H43" t="s">
        <v>64</v>
      </c>
      <c r="I43" t="s">
        <v>55</v>
      </c>
      <c r="J43">
        <v>100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s="3">
        <f t="shared" si="6"/>
        <v>1</v>
      </c>
      <c r="Q43">
        <f t="shared" si="1"/>
        <v>1</v>
      </c>
      <c r="R43" t="str">
        <f t="shared" si="2"/>
        <v>NA</v>
      </c>
      <c r="S43" t="str">
        <f t="shared" si="3"/>
        <v>NA</v>
      </c>
      <c r="T43" t="str">
        <f t="shared" si="4"/>
        <v>NA</v>
      </c>
      <c r="U43">
        <f t="shared" si="5"/>
        <v>1</v>
      </c>
      <c r="Z43" t="str">
        <f t="shared" si="9"/>
        <v>Indian#2023-09-05</v>
      </c>
      <c r="AA43" s="8" t="s">
        <v>185</v>
      </c>
      <c r="AB43" s="1">
        <v>45174</v>
      </c>
      <c r="AC43" t="s">
        <v>45</v>
      </c>
      <c r="AD43" t="s">
        <v>46</v>
      </c>
      <c r="AE43" t="s">
        <v>133</v>
      </c>
      <c r="AF43" t="s">
        <v>22</v>
      </c>
      <c r="AG43">
        <v>30</v>
      </c>
      <c r="AH43" t="s">
        <v>22</v>
      </c>
      <c r="AI43">
        <v>50</v>
      </c>
      <c r="AJ43" t="s">
        <v>22</v>
      </c>
      <c r="AK43">
        <v>20</v>
      </c>
      <c r="AL43" s="3">
        <v>3</v>
      </c>
      <c r="AM43" t="s">
        <v>22</v>
      </c>
      <c r="AN43" t="s">
        <v>22</v>
      </c>
      <c r="AO43" t="s">
        <v>22</v>
      </c>
      <c r="AP43">
        <v>1</v>
      </c>
      <c r="AQ43">
        <v>1</v>
      </c>
      <c r="AR43" t="s">
        <v>173</v>
      </c>
      <c r="AS43" t="e">
        <f>VLOOKUP(Z43,'folder names img count cmds'!I$4:I$651,2,FALSE)</f>
        <v>#REF!</v>
      </c>
    </row>
    <row r="44" spans="1:45">
      <c r="A44">
        <v>178</v>
      </c>
      <c r="B44" s="1">
        <v>45129</v>
      </c>
      <c r="C44" t="s">
        <v>77</v>
      </c>
      <c r="D44" t="s">
        <v>78</v>
      </c>
      <c r="E44" t="s">
        <v>112</v>
      </c>
      <c r="F44" s="1">
        <v>45129</v>
      </c>
      <c r="G44" t="s">
        <v>77</v>
      </c>
      <c r="H44" t="s">
        <v>78</v>
      </c>
      <c r="I44" t="s">
        <v>112</v>
      </c>
      <c r="J44">
        <v>25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s="3">
        <f t="shared" si="6"/>
        <v>1</v>
      </c>
      <c r="Q44">
        <f t="shared" si="1"/>
        <v>1</v>
      </c>
      <c r="R44" t="str">
        <f t="shared" si="2"/>
        <v>NA</v>
      </c>
      <c r="S44" t="str">
        <f t="shared" si="3"/>
        <v>NA</v>
      </c>
      <c r="T44" t="str">
        <f t="shared" si="4"/>
        <v>NA</v>
      </c>
      <c r="U44">
        <f t="shared" si="5"/>
        <v>1</v>
      </c>
      <c r="Z44" t="str">
        <f t="shared" si="9"/>
        <v>Lashaway#2023-09-16</v>
      </c>
      <c r="AA44" s="8" t="s">
        <v>181</v>
      </c>
      <c r="AB44" s="1">
        <v>45185</v>
      </c>
      <c r="AC44" t="s">
        <v>56</v>
      </c>
      <c r="AD44" t="s">
        <v>57</v>
      </c>
      <c r="AE44" t="s">
        <v>139</v>
      </c>
      <c r="AF44" t="s">
        <v>22</v>
      </c>
      <c r="AG44">
        <v>50</v>
      </c>
      <c r="AH44" t="s">
        <v>22</v>
      </c>
      <c r="AI44" t="s">
        <v>22</v>
      </c>
      <c r="AJ44" t="s">
        <v>22</v>
      </c>
      <c r="AK44">
        <v>50</v>
      </c>
      <c r="AL44" s="3">
        <v>2</v>
      </c>
      <c r="AM44" t="s">
        <v>22</v>
      </c>
      <c r="AN44" t="s">
        <v>22</v>
      </c>
      <c r="AO44" t="s">
        <v>22</v>
      </c>
      <c r="AP44">
        <v>1</v>
      </c>
      <c r="AQ44">
        <v>1</v>
      </c>
      <c r="AR44" t="s">
        <v>173</v>
      </c>
      <c r="AS44" t="e">
        <f>VLOOKUP(Z44,'folder names img count cmds'!I$4:I$651,2,FALSE)</f>
        <v>#REF!</v>
      </c>
    </row>
    <row r="45" spans="1:45">
      <c r="A45">
        <v>184</v>
      </c>
      <c r="B45" s="1">
        <v>45145</v>
      </c>
      <c r="C45" t="s">
        <v>23</v>
      </c>
      <c r="D45" t="s">
        <v>24</v>
      </c>
      <c r="E45" t="s">
        <v>86</v>
      </c>
      <c r="F45" s="1">
        <v>45145</v>
      </c>
      <c r="G45" t="s">
        <v>23</v>
      </c>
      <c r="H45" t="s">
        <v>24</v>
      </c>
      <c r="I45" t="s">
        <v>86</v>
      </c>
      <c r="J45">
        <v>50</v>
      </c>
      <c r="K45">
        <v>50</v>
      </c>
      <c r="L45" t="s">
        <v>22</v>
      </c>
      <c r="M45" t="s">
        <v>22</v>
      </c>
      <c r="N45" t="s">
        <v>22</v>
      </c>
      <c r="O45" t="s">
        <v>22</v>
      </c>
      <c r="P45" s="3">
        <f t="shared" si="6"/>
        <v>2</v>
      </c>
      <c r="Q45">
        <f t="shared" si="1"/>
        <v>1</v>
      </c>
      <c r="R45" t="str">
        <f t="shared" si="2"/>
        <v>NA</v>
      </c>
      <c r="S45" t="str">
        <f t="shared" si="3"/>
        <v>NA</v>
      </c>
      <c r="T45" t="str">
        <f t="shared" si="4"/>
        <v>NA</v>
      </c>
      <c r="U45">
        <f t="shared" si="5"/>
        <v>1</v>
      </c>
      <c r="Z45" t="str">
        <f t="shared" si="9"/>
        <v>Indian#2023-10-02</v>
      </c>
      <c r="AA45" s="8" t="s">
        <v>190</v>
      </c>
      <c r="AB45" s="1">
        <v>45201</v>
      </c>
      <c r="AC45" t="s">
        <v>45</v>
      </c>
      <c r="AD45" t="s">
        <v>46</v>
      </c>
      <c r="AE45" t="s">
        <v>149</v>
      </c>
      <c r="AF45" t="s">
        <v>22</v>
      </c>
      <c r="AG45">
        <v>20</v>
      </c>
      <c r="AH45" t="s">
        <v>22</v>
      </c>
      <c r="AI45">
        <v>75</v>
      </c>
      <c r="AJ45" t="s">
        <v>22</v>
      </c>
      <c r="AK45">
        <v>5</v>
      </c>
      <c r="AL45" s="3">
        <v>3</v>
      </c>
      <c r="AM45" t="s">
        <v>22</v>
      </c>
      <c r="AN45" t="s">
        <v>22</v>
      </c>
      <c r="AO45" t="s">
        <v>22</v>
      </c>
      <c r="AP45">
        <v>1</v>
      </c>
      <c r="AQ45">
        <v>1</v>
      </c>
      <c r="AR45" t="s">
        <v>173</v>
      </c>
      <c r="AS45" t="e">
        <f>VLOOKUP(Z45,'folder names img count cmds'!I$4:I$651,2,FALSE)</f>
        <v>#REF!</v>
      </c>
    </row>
    <row r="46" spans="1:45">
      <c r="A46">
        <v>204</v>
      </c>
      <c r="B46" s="1">
        <v>45145</v>
      </c>
      <c r="C46" t="s">
        <v>68</v>
      </c>
      <c r="D46" t="s">
        <v>69</v>
      </c>
      <c r="E46" t="s">
        <v>55</v>
      </c>
      <c r="F46" s="1">
        <v>45145</v>
      </c>
      <c r="G46" t="s">
        <v>68</v>
      </c>
      <c r="H46" t="s">
        <v>69</v>
      </c>
      <c r="I46" t="s">
        <v>55</v>
      </c>
      <c r="J46">
        <v>100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s="3">
        <f t="shared" si="6"/>
        <v>1</v>
      </c>
      <c r="Q46">
        <f t="shared" si="1"/>
        <v>1</v>
      </c>
      <c r="R46" t="str">
        <f t="shared" si="2"/>
        <v>NA</v>
      </c>
      <c r="S46" t="str">
        <f t="shared" si="3"/>
        <v>NA</v>
      </c>
      <c r="T46" t="str">
        <f t="shared" si="4"/>
        <v>NA</v>
      </c>
      <c r="U46">
        <f t="shared" si="5"/>
        <v>1</v>
      </c>
      <c r="Z46" t="str">
        <f t="shared" si="9"/>
        <v>Coes.R#2023-10-14</v>
      </c>
      <c r="AA46" s="8" t="s">
        <v>186</v>
      </c>
      <c r="AB46" s="1">
        <v>45213</v>
      </c>
      <c r="AC46" t="s">
        <v>23</v>
      </c>
      <c r="AD46" t="s">
        <v>24</v>
      </c>
      <c r="AE46" t="s">
        <v>117</v>
      </c>
      <c r="AF46" t="s">
        <v>22</v>
      </c>
      <c r="AG46">
        <v>50</v>
      </c>
      <c r="AH46" t="s">
        <v>22</v>
      </c>
      <c r="AI46">
        <v>10</v>
      </c>
      <c r="AJ46" t="s">
        <v>22</v>
      </c>
      <c r="AK46">
        <v>40</v>
      </c>
      <c r="AL46" s="3">
        <v>3</v>
      </c>
      <c r="AM46" t="s">
        <v>22</v>
      </c>
      <c r="AN46" t="s">
        <v>22</v>
      </c>
      <c r="AO46" t="s">
        <v>22</v>
      </c>
      <c r="AP46">
        <v>1</v>
      </c>
      <c r="AQ46">
        <v>1</v>
      </c>
      <c r="AR46" t="s">
        <v>173</v>
      </c>
      <c r="AS46" t="e">
        <f>VLOOKUP(Z46,'folder names img count cmds'!I$4:I$651,2,FALSE)</f>
        <v>#REF!</v>
      </c>
    </row>
    <row r="47" spans="1:45">
      <c r="A47">
        <v>229</v>
      </c>
      <c r="B47" s="1">
        <v>45157</v>
      </c>
      <c r="C47" t="s">
        <v>56</v>
      </c>
      <c r="D47" t="s">
        <v>57</v>
      </c>
      <c r="E47" t="s">
        <v>55</v>
      </c>
      <c r="F47" s="1">
        <v>45157</v>
      </c>
      <c r="G47" t="s">
        <v>56</v>
      </c>
      <c r="H47" t="s">
        <v>57</v>
      </c>
      <c r="I47" t="s">
        <v>55</v>
      </c>
      <c r="J47">
        <v>100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s="3">
        <f t="shared" si="6"/>
        <v>1</v>
      </c>
      <c r="Q47">
        <f t="shared" si="1"/>
        <v>1</v>
      </c>
      <c r="R47" t="str">
        <f t="shared" si="2"/>
        <v>NA</v>
      </c>
      <c r="S47" t="str">
        <f t="shared" si="3"/>
        <v>NA</v>
      </c>
      <c r="T47" t="str">
        <f t="shared" si="4"/>
        <v>NA</v>
      </c>
      <c r="U47">
        <f t="shared" si="5"/>
        <v>1</v>
      </c>
    </row>
    <row r="48" spans="1:45">
      <c r="A48">
        <v>262</v>
      </c>
      <c r="B48" s="1">
        <v>45174</v>
      </c>
      <c r="C48" t="s">
        <v>63</v>
      </c>
      <c r="D48" t="s">
        <v>64</v>
      </c>
      <c r="E48" t="s">
        <v>135</v>
      </c>
      <c r="F48" s="1">
        <v>45174</v>
      </c>
      <c r="G48" t="s">
        <v>63</v>
      </c>
      <c r="H48" t="s">
        <v>64</v>
      </c>
      <c r="I48" t="s">
        <v>135</v>
      </c>
      <c r="J48">
        <v>10</v>
      </c>
      <c r="K48">
        <v>90</v>
      </c>
      <c r="L48" t="s">
        <v>22</v>
      </c>
      <c r="M48" t="s">
        <v>22</v>
      </c>
      <c r="N48" t="s">
        <v>22</v>
      </c>
      <c r="O48" t="s">
        <v>22</v>
      </c>
      <c r="P48" s="3">
        <f t="shared" si="6"/>
        <v>2</v>
      </c>
      <c r="Q48">
        <f t="shared" si="1"/>
        <v>1</v>
      </c>
      <c r="R48" t="str">
        <f t="shared" si="2"/>
        <v>NA</v>
      </c>
      <c r="S48" t="str">
        <f t="shared" si="3"/>
        <v>NA</v>
      </c>
      <c r="T48" t="str">
        <f t="shared" si="4"/>
        <v>NA</v>
      </c>
      <c r="U48">
        <f t="shared" si="5"/>
        <v>1</v>
      </c>
    </row>
    <row r="49" spans="1:47">
      <c r="A49">
        <v>274</v>
      </c>
      <c r="B49" s="1">
        <v>45185</v>
      </c>
      <c r="C49" t="s">
        <v>23</v>
      </c>
      <c r="D49" t="s">
        <v>24</v>
      </c>
      <c r="E49" t="s">
        <v>91</v>
      </c>
      <c r="F49" s="1">
        <v>45185</v>
      </c>
      <c r="G49" t="s">
        <v>23</v>
      </c>
      <c r="H49" t="s">
        <v>24</v>
      </c>
      <c r="I49" t="s">
        <v>91</v>
      </c>
      <c r="J49">
        <v>25</v>
      </c>
      <c r="K49">
        <v>75</v>
      </c>
      <c r="L49" t="s">
        <v>22</v>
      </c>
      <c r="M49" t="s">
        <v>22</v>
      </c>
      <c r="N49" t="s">
        <v>22</v>
      </c>
      <c r="O49" t="s">
        <v>22</v>
      </c>
      <c r="P49" s="3">
        <f t="shared" si="6"/>
        <v>2</v>
      </c>
      <c r="Q49">
        <f t="shared" si="1"/>
        <v>1</v>
      </c>
      <c r="R49" t="str">
        <f t="shared" si="2"/>
        <v>NA</v>
      </c>
      <c r="S49" t="str">
        <f t="shared" si="3"/>
        <v>NA</v>
      </c>
      <c r="T49" t="str">
        <f t="shared" si="4"/>
        <v>NA</v>
      </c>
      <c r="U49">
        <f t="shared" si="5"/>
        <v>1</v>
      </c>
      <c r="Z49" s="2" t="s">
        <v>177</v>
      </c>
      <c r="AA49" s="2" t="s">
        <v>178</v>
      </c>
      <c r="AB49" s="2" t="s">
        <v>0</v>
      </c>
      <c r="AC49" s="2" t="s">
        <v>1</v>
      </c>
      <c r="AD49" s="2" t="s">
        <v>2</v>
      </c>
      <c r="AE49" s="2" t="s">
        <v>11</v>
      </c>
      <c r="AF49" s="2" t="s">
        <v>164</v>
      </c>
      <c r="AG49" s="2" t="s">
        <v>144</v>
      </c>
      <c r="AH49" s="2" t="s">
        <v>129</v>
      </c>
      <c r="AI49" s="2" t="s">
        <v>165</v>
      </c>
      <c r="AJ49" s="2" t="s">
        <v>166</v>
      </c>
      <c r="AK49" s="2" t="s">
        <v>167</v>
      </c>
      <c r="AL49" s="2" t="s">
        <v>161</v>
      </c>
      <c r="AM49" s="2" t="s">
        <v>168</v>
      </c>
      <c r="AN49" s="2" t="s">
        <v>169</v>
      </c>
      <c r="AO49" s="2" t="s">
        <v>170</v>
      </c>
      <c r="AP49" s="2" t="s">
        <v>171</v>
      </c>
      <c r="AQ49" s="2" t="s">
        <v>172</v>
      </c>
      <c r="AR49" s="2" t="s">
        <v>179</v>
      </c>
      <c r="AS49" s="2" t="s">
        <v>191</v>
      </c>
      <c r="AT49" s="2" t="s">
        <v>192</v>
      </c>
      <c r="AU49" s="2" t="s">
        <v>193</v>
      </c>
    </row>
    <row r="50" spans="1:47">
      <c r="A50">
        <v>290</v>
      </c>
      <c r="B50" s="1">
        <v>45185</v>
      </c>
      <c r="C50" t="s">
        <v>59</v>
      </c>
      <c r="D50" t="s">
        <v>60</v>
      </c>
      <c r="E50" t="s">
        <v>140</v>
      </c>
      <c r="F50" s="1">
        <v>45185</v>
      </c>
      <c r="G50" t="s">
        <v>59</v>
      </c>
      <c r="H50" t="s">
        <v>60</v>
      </c>
      <c r="I50" t="s">
        <v>140</v>
      </c>
      <c r="J50">
        <v>50</v>
      </c>
      <c r="K50">
        <v>45</v>
      </c>
      <c r="L50" t="s">
        <v>22</v>
      </c>
      <c r="M50">
        <v>5</v>
      </c>
      <c r="N50" t="s">
        <v>22</v>
      </c>
      <c r="O50" t="s">
        <v>22</v>
      </c>
      <c r="P50" s="3">
        <f t="shared" si="6"/>
        <v>3</v>
      </c>
      <c r="Q50">
        <f t="shared" si="1"/>
        <v>1</v>
      </c>
      <c r="R50" t="str">
        <f t="shared" si="2"/>
        <v>NA</v>
      </c>
      <c r="S50" t="str">
        <f t="shared" si="3"/>
        <v>NA</v>
      </c>
      <c r="T50" t="str">
        <f t="shared" si="4"/>
        <v>NA</v>
      </c>
      <c r="U50">
        <f t="shared" si="5"/>
        <v>1</v>
      </c>
      <c r="Z50" t="str">
        <f t="shared" ref="Z50:Z65" si="10">CONCATENATE(AD50,"#",AA50)</f>
        <v>Chauncy#2023-08-07</v>
      </c>
      <c r="AA50" s="8" t="s">
        <v>180</v>
      </c>
      <c r="AB50" s="1">
        <v>45145</v>
      </c>
      <c r="AC50" t="s">
        <v>53</v>
      </c>
      <c r="AD50" t="s">
        <v>54</v>
      </c>
      <c r="AE50" t="s">
        <v>119</v>
      </c>
      <c r="AF50">
        <v>10</v>
      </c>
      <c r="AG50">
        <v>60</v>
      </c>
      <c r="AH50">
        <v>10</v>
      </c>
      <c r="AI50">
        <v>20</v>
      </c>
      <c r="AJ50" t="s">
        <v>22</v>
      </c>
      <c r="AK50">
        <v>0</v>
      </c>
      <c r="AL50" s="3">
        <v>5</v>
      </c>
      <c r="AM50">
        <v>1</v>
      </c>
      <c r="AN50">
        <v>1</v>
      </c>
      <c r="AO50" t="s">
        <v>22</v>
      </c>
      <c r="AP50">
        <v>1</v>
      </c>
      <c r="AQ50">
        <v>3</v>
      </c>
      <c r="AR50" t="s">
        <v>173</v>
      </c>
      <c r="AS50" t="e">
        <f>VLOOKUP(Z50,'folder names img count cmds'!I$4:I$651,2,FALSE)</f>
        <v>#REF!</v>
      </c>
      <c r="AT50" t="e">
        <f>VLOOKUP(Z50,'folder names img count cmds'!I$4:J$651,3,FALSE)</f>
        <v>#REF!</v>
      </c>
      <c r="AU50" t="e">
        <f>CONCATENATE("ls ",AT50," &gt; ",Z50,"_img_file_list.txt")</f>
        <v>#REF!</v>
      </c>
    </row>
    <row r="51" spans="1:47">
      <c r="A51">
        <v>302</v>
      </c>
      <c r="B51" s="1">
        <v>45201</v>
      </c>
      <c r="C51" t="s">
        <v>16</v>
      </c>
      <c r="D51" t="s">
        <v>17</v>
      </c>
      <c r="E51" t="s">
        <v>146</v>
      </c>
      <c r="F51" s="1">
        <v>45201</v>
      </c>
      <c r="G51" t="s">
        <v>16</v>
      </c>
      <c r="H51" t="s">
        <v>17</v>
      </c>
      <c r="I51" t="s">
        <v>146</v>
      </c>
      <c r="J51">
        <v>50</v>
      </c>
      <c r="K51" t="s">
        <v>22</v>
      </c>
      <c r="L51" t="s">
        <v>22</v>
      </c>
      <c r="M51">
        <v>50</v>
      </c>
      <c r="N51" t="s">
        <v>22</v>
      </c>
      <c r="O51" t="s">
        <v>22</v>
      </c>
      <c r="P51" s="3">
        <f t="shared" si="6"/>
        <v>2</v>
      </c>
      <c r="Q51">
        <f t="shared" si="1"/>
        <v>1</v>
      </c>
      <c r="R51" t="str">
        <f t="shared" si="2"/>
        <v>NA</v>
      </c>
      <c r="S51" t="str">
        <f t="shared" si="3"/>
        <v>NA</v>
      </c>
      <c r="T51" t="str">
        <f t="shared" si="4"/>
        <v>NA</v>
      </c>
      <c r="U51">
        <f t="shared" si="5"/>
        <v>1</v>
      </c>
      <c r="Z51" t="str">
        <f t="shared" si="10"/>
        <v>Chauncy#2023-09-16</v>
      </c>
      <c r="AA51" s="8" t="s">
        <v>181</v>
      </c>
      <c r="AB51" s="1">
        <v>45185</v>
      </c>
      <c r="AC51" t="s">
        <v>53</v>
      </c>
      <c r="AD51" t="s">
        <v>54</v>
      </c>
      <c r="AE51" t="s">
        <v>138</v>
      </c>
      <c r="AF51">
        <v>10</v>
      </c>
      <c r="AG51">
        <v>60</v>
      </c>
      <c r="AH51">
        <v>15</v>
      </c>
      <c r="AI51">
        <v>15</v>
      </c>
      <c r="AJ51" t="s">
        <v>22</v>
      </c>
      <c r="AK51">
        <v>0</v>
      </c>
      <c r="AL51" s="3">
        <v>5</v>
      </c>
      <c r="AM51">
        <v>1</v>
      </c>
      <c r="AN51">
        <v>1</v>
      </c>
      <c r="AO51" t="s">
        <v>22</v>
      </c>
      <c r="AP51">
        <v>1</v>
      </c>
      <c r="AQ51">
        <v>3</v>
      </c>
      <c r="AR51" t="s">
        <v>173</v>
      </c>
      <c r="AS51" t="e">
        <f>VLOOKUP(Z51,'folder names img count cmds'!I$4:I$651,2,FALSE)</f>
        <v>#REF!</v>
      </c>
      <c r="AT51" t="e">
        <f>VLOOKUP(Z51,'folder names img count cmds'!I$4:J$651,3,FALSE)</f>
        <v>#REF!</v>
      </c>
      <c r="AU51" t="e">
        <f t="shared" ref="AU51:AU65" si="11">CONCATENATE("ls ",AT51," &gt; ",Z51,"_img_file_list.txt")</f>
        <v>#REF!</v>
      </c>
    </row>
    <row r="52" spans="1:47">
      <c r="A52">
        <v>304</v>
      </c>
      <c r="B52" s="1">
        <v>45201</v>
      </c>
      <c r="C52" t="s">
        <v>23</v>
      </c>
      <c r="D52" t="s">
        <v>24</v>
      </c>
      <c r="E52" t="s">
        <v>86</v>
      </c>
      <c r="F52" s="1">
        <v>45201</v>
      </c>
      <c r="G52" t="s">
        <v>23</v>
      </c>
      <c r="H52" t="s">
        <v>24</v>
      </c>
      <c r="I52" t="s">
        <v>86</v>
      </c>
      <c r="J52">
        <v>50</v>
      </c>
      <c r="K52">
        <v>50</v>
      </c>
      <c r="L52" t="s">
        <v>22</v>
      </c>
      <c r="M52" t="s">
        <v>22</v>
      </c>
      <c r="N52" t="s">
        <v>22</v>
      </c>
      <c r="O52" t="s">
        <v>22</v>
      </c>
      <c r="P52" s="3">
        <f t="shared" si="6"/>
        <v>2</v>
      </c>
      <c r="Q52">
        <f t="shared" si="1"/>
        <v>1</v>
      </c>
      <c r="R52" t="str">
        <f t="shared" si="2"/>
        <v>NA</v>
      </c>
      <c r="S52" t="str">
        <f t="shared" si="3"/>
        <v>NA</v>
      </c>
      <c r="T52" t="str">
        <f t="shared" si="4"/>
        <v>NA</v>
      </c>
      <c r="U52">
        <f t="shared" si="5"/>
        <v>1</v>
      </c>
      <c r="Z52" t="str">
        <f t="shared" si="10"/>
        <v>Indian#2023-07-10</v>
      </c>
      <c r="AA52" s="8" t="s">
        <v>182</v>
      </c>
      <c r="AB52" s="1">
        <v>45117</v>
      </c>
      <c r="AC52" t="s">
        <v>45</v>
      </c>
      <c r="AD52" t="s">
        <v>46</v>
      </c>
      <c r="AE52" t="s">
        <v>100</v>
      </c>
      <c r="AF52">
        <v>25</v>
      </c>
      <c r="AG52">
        <v>25</v>
      </c>
      <c r="AH52" t="s">
        <v>22</v>
      </c>
      <c r="AI52" t="s">
        <v>22</v>
      </c>
      <c r="AJ52" t="s">
        <v>22</v>
      </c>
      <c r="AK52">
        <v>50</v>
      </c>
      <c r="AL52" s="3">
        <v>3</v>
      </c>
      <c r="AM52">
        <v>1</v>
      </c>
      <c r="AN52" t="s">
        <v>22</v>
      </c>
      <c r="AO52" t="s">
        <v>22</v>
      </c>
      <c r="AP52">
        <v>1</v>
      </c>
      <c r="AQ52">
        <v>2</v>
      </c>
      <c r="AR52" t="s">
        <v>173</v>
      </c>
      <c r="AS52" t="e">
        <f>VLOOKUP(Z52,'folder names img count cmds'!I$4:I$651,2,FALSE)</f>
        <v>#REF!</v>
      </c>
      <c r="AT52" t="e">
        <f>VLOOKUP(Z52,'folder names img count cmds'!I$4:J$651,3,FALSE)</f>
        <v>#REF!</v>
      </c>
      <c r="AU52" t="e">
        <f t="shared" si="11"/>
        <v>#REF!</v>
      </c>
    </row>
    <row r="53" spans="1:47">
      <c r="A53">
        <v>349</v>
      </c>
      <c r="B53" s="1">
        <v>45213</v>
      </c>
      <c r="C53" t="s">
        <v>56</v>
      </c>
      <c r="D53" t="s">
        <v>57</v>
      </c>
      <c r="E53" t="s">
        <v>155</v>
      </c>
      <c r="F53" s="1">
        <v>45213</v>
      </c>
      <c r="G53" t="s">
        <v>56</v>
      </c>
      <c r="H53" t="s">
        <v>57</v>
      </c>
      <c r="I53" t="s">
        <v>155</v>
      </c>
      <c r="J53">
        <v>85</v>
      </c>
      <c r="K53">
        <v>10</v>
      </c>
      <c r="L53" t="s">
        <v>22</v>
      </c>
      <c r="M53">
        <v>5</v>
      </c>
      <c r="N53" t="s">
        <v>22</v>
      </c>
      <c r="O53" t="s">
        <v>22</v>
      </c>
      <c r="P53" s="3">
        <f t="shared" si="6"/>
        <v>3</v>
      </c>
      <c r="Q53">
        <f t="shared" si="1"/>
        <v>1</v>
      </c>
      <c r="R53" t="str">
        <f t="shared" si="2"/>
        <v>NA</v>
      </c>
      <c r="S53" t="str">
        <f t="shared" si="3"/>
        <v>NA</v>
      </c>
      <c r="T53" t="str">
        <f t="shared" si="4"/>
        <v>NA</v>
      </c>
      <c r="U53">
        <f t="shared" si="5"/>
        <v>1</v>
      </c>
      <c r="Z53" t="str">
        <f t="shared" si="10"/>
        <v>Chauncy#2023-07-22</v>
      </c>
      <c r="AA53" s="8" t="s">
        <v>183</v>
      </c>
      <c r="AB53" s="1">
        <v>45129</v>
      </c>
      <c r="AC53" t="s">
        <v>53</v>
      </c>
      <c r="AD53" t="s">
        <v>54</v>
      </c>
      <c r="AE53" t="s">
        <v>108</v>
      </c>
      <c r="AF53">
        <v>25</v>
      </c>
      <c r="AG53">
        <v>50</v>
      </c>
      <c r="AH53" t="s">
        <v>22</v>
      </c>
      <c r="AI53">
        <v>20</v>
      </c>
      <c r="AJ53" t="s">
        <v>22</v>
      </c>
      <c r="AK53">
        <v>5</v>
      </c>
      <c r="AL53" s="3">
        <v>4</v>
      </c>
      <c r="AM53">
        <v>1</v>
      </c>
      <c r="AN53" t="s">
        <v>22</v>
      </c>
      <c r="AO53" t="s">
        <v>22</v>
      </c>
      <c r="AP53">
        <v>1</v>
      </c>
      <c r="AQ53">
        <v>2</v>
      </c>
      <c r="AR53" t="s">
        <v>173</v>
      </c>
      <c r="AS53" t="e">
        <f>VLOOKUP(Z53,'folder names img count cmds'!I$4:I$651,2,FALSE)</f>
        <v>#REF!</v>
      </c>
      <c r="AT53" t="e">
        <f>VLOOKUP(Z53,'folder names img count cmds'!I$4:J$651,3,FALSE)</f>
        <v>#REF!</v>
      </c>
      <c r="AU53" t="e">
        <f t="shared" si="11"/>
        <v>#REF!</v>
      </c>
    </row>
    <row r="54" spans="1:47">
      <c r="A54">
        <v>375</v>
      </c>
      <c r="B54" s="1">
        <v>45229</v>
      </c>
      <c r="C54" t="s">
        <v>48</v>
      </c>
      <c r="D54" t="s">
        <v>49</v>
      </c>
      <c r="E54" t="s">
        <v>55</v>
      </c>
      <c r="F54" s="1">
        <v>45229</v>
      </c>
      <c r="G54" t="s">
        <v>48</v>
      </c>
      <c r="H54" t="s">
        <v>49</v>
      </c>
      <c r="I54" t="s">
        <v>55</v>
      </c>
      <c r="J54">
        <v>100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s="3">
        <f t="shared" si="6"/>
        <v>1</v>
      </c>
      <c r="Q54">
        <f t="shared" si="1"/>
        <v>1</v>
      </c>
      <c r="R54" t="str">
        <f t="shared" si="2"/>
        <v>NA</v>
      </c>
      <c r="S54" t="str">
        <f t="shared" si="3"/>
        <v>NA</v>
      </c>
      <c r="T54" t="str">
        <f t="shared" si="4"/>
        <v>NA</v>
      </c>
      <c r="U54">
        <f t="shared" si="5"/>
        <v>1</v>
      </c>
      <c r="Z54" t="str">
        <f t="shared" si="10"/>
        <v>Green.Hill#2023-08-07</v>
      </c>
      <c r="AA54" s="8" t="s">
        <v>180</v>
      </c>
      <c r="AB54" s="1">
        <v>45145</v>
      </c>
      <c r="AC54" t="s">
        <v>43</v>
      </c>
      <c r="AD54" t="s">
        <v>44</v>
      </c>
      <c r="AE54" t="s">
        <v>116</v>
      </c>
      <c r="AF54">
        <v>25</v>
      </c>
      <c r="AG54">
        <v>50</v>
      </c>
      <c r="AH54" t="s">
        <v>22</v>
      </c>
      <c r="AI54">
        <v>5</v>
      </c>
      <c r="AJ54" t="s">
        <v>22</v>
      </c>
      <c r="AK54">
        <v>20</v>
      </c>
      <c r="AL54" s="3">
        <v>4</v>
      </c>
      <c r="AM54">
        <v>1</v>
      </c>
      <c r="AN54" t="s">
        <v>22</v>
      </c>
      <c r="AO54" t="s">
        <v>22</v>
      </c>
      <c r="AP54">
        <v>1</v>
      </c>
      <c r="AQ54">
        <v>2</v>
      </c>
      <c r="AR54" t="s">
        <v>173</v>
      </c>
      <c r="AS54" t="e">
        <f>VLOOKUP(Z54,'folder names img count cmds'!I$4:I$651,2,FALSE)</f>
        <v>#REF!</v>
      </c>
      <c r="AT54" t="e">
        <f>VLOOKUP(Z54,'folder names img count cmds'!I$4:J$651,3,FALSE)</f>
        <v>#REF!</v>
      </c>
      <c r="AU54" t="e">
        <f t="shared" si="11"/>
        <v>#REF!</v>
      </c>
    </row>
    <row r="55" spans="1:47">
      <c r="A55">
        <v>379</v>
      </c>
      <c r="B55" s="1">
        <v>45229</v>
      </c>
      <c r="C55" t="s">
        <v>59</v>
      </c>
      <c r="D55" t="s">
        <v>60</v>
      </c>
      <c r="E55" t="s">
        <v>55</v>
      </c>
      <c r="F55" s="1">
        <v>45229</v>
      </c>
      <c r="G55" t="s">
        <v>59</v>
      </c>
      <c r="H55" t="s">
        <v>60</v>
      </c>
      <c r="I55" t="s">
        <v>55</v>
      </c>
      <c r="J55">
        <v>100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s="3">
        <f t="shared" si="6"/>
        <v>1</v>
      </c>
      <c r="Q55">
        <f t="shared" si="1"/>
        <v>1</v>
      </c>
      <c r="R55" t="str">
        <f t="shared" si="2"/>
        <v>NA</v>
      </c>
      <c r="S55" t="str">
        <f t="shared" si="3"/>
        <v>NA</v>
      </c>
      <c r="T55" t="str">
        <f t="shared" si="4"/>
        <v>NA</v>
      </c>
      <c r="U55">
        <f t="shared" si="5"/>
        <v>1</v>
      </c>
      <c r="Z55" t="str">
        <f t="shared" si="10"/>
        <v>Quinsigamond#2023-08-07</v>
      </c>
      <c r="AA55" s="8" t="s">
        <v>180</v>
      </c>
      <c r="AB55" s="1">
        <v>45145</v>
      </c>
      <c r="AC55" t="s">
        <v>59</v>
      </c>
      <c r="AD55" t="s">
        <v>60</v>
      </c>
      <c r="AE55" t="s">
        <v>120</v>
      </c>
      <c r="AF55">
        <v>40</v>
      </c>
      <c r="AG55">
        <v>40</v>
      </c>
      <c r="AH55" t="s">
        <v>22</v>
      </c>
      <c r="AI55">
        <v>10</v>
      </c>
      <c r="AJ55" t="s">
        <v>22</v>
      </c>
      <c r="AK55">
        <v>10</v>
      </c>
      <c r="AL55" s="3">
        <v>4</v>
      </c>
      <c r="AM55">
        <v>1</v>
      </c>
      <c r="AN55" t="s">
        <v>22</v>
      </c>
      <c r="AO55" t="s">
        <v>22</v>
      </c>
      <c r="AP55">
        <v>1</v>
      </c>
      <c r="AQ55">
        <v>2</v>
      </c>
      <c r="AR55" t="s">
        <v>173</v>
      </c>
      <c r="AS55" t="e">
        <f>VLOOKUP(Z55,'folder names img count cmds'!I$4:I$651,2,FALSE)</f>
        <v>#REF!</v>
      </c>
      <c r="AT55" t="e">
        <f>VLOOKUP(Z55,'folder names img count cmds'!I$4:J$651,3,FALSE)</f>
        <v>#REF!</v>
      </c>
      <c r="AU55" t="e">
        <f t="shared" si="11"/>
        <v>#REF!</v>
      </c>
    </row>
    <row r="56" spans="1:47">
      <c r="A56">
        <v>2</v>
      </c>
      <c r="B56" s="1">
        <v>45045</v>
      </c>
      <c r="C56" t="s">
        <v>16</v>
      </c>
      <c r="D56" t="s">
        <v>17</v>
      </c>
      <c r="E56" t="s">
        <v>19</v>
      </c>
      <c r="F56" s="1">
        <v>45045</v>
      </c>
      <c r="G56" t="s">
        <v>16</v>
      </c>
      <c r="H56" t="s">
        <v>17</v>
      </c>
      <c r="I56" t="s">
        <v>19</v>
      </c>
      <c r="J56" t="s">
        <v>22</v>
      </c>
      <c r="K56">
        <v>10</v>
      </c>
      <c r="L56">
        <v>90</v>
      </c>
      <c r="M56" t="s">
        <v>22</v>
      </c>
      <c r="N56" t="s">
        <v>22</v>
      </c>
      <c r="O56" t="s">
        <v>22</v>
      </c>
      <c r="P56" s="3">
        <f t="shared" si="6"/>
        <v>2</v>
      </c>
      <c r="Q56" t="str">
        <f t="shared" si="1"/>
        <v>NA</v>
      </c>
      <c r="R56">
        <f t="shared" si="2"/>
        <v>1</v>
      </c>
      <c r="S56" t="str">
        <f t="shared" si="3"/>
        <v>NA</v>
      </c>
      <c r="T56" t="str">
        <f t="shared" si="4"/>
        <v>NA</v>
      </c>
      <c r="U56">
        <f t="shared" si="5"/>
        <v>1</v>
      </c>
      <c r="Z56" t="str">
        <f t="shared" si="10"/>
        <v>Quinsigamond#2023-08-19</v>
      </c>
      <c r="AA56" s="8" t="s">
        <v>184</v>
      </c>
      <c r="AB56" s="1">
        <v>45157</v>
      </c>
      <c r="AC56" t="s">
        <v>59</v>
      </c>
      <c r="AD56" t="s">
        <v>60</v>
      </c>
      <c r="AE56" t="s">
        <v>126</v>
      </c>
      <c r="AF56">
        <v>75</v>
      </c>
      <c r="AG56">
        <v>5</v>
      </c>
      <c r="AH56" t="s">
        <v>22</v>
      </c>
      <c r="AI56">
        <v>20</v>
      </c>
      <c r="AJ56" t="s">
        <v>22</v>
      </c>
      <c r="AK56">
        <v>0</v>
      </c>
      <c r="AL56" s="3">
        <v>4</v>
      </c>
      <c r="AM56">
        <v>1</v>
      </c>
      <c r="AN56" t="s">
        <v>22</v>
      </c>
      <c r="AO56" t="s">
        <v>22</v>
      </c>
      <c r="AP56">
        <v>1</v>
      </c>
      <c r="AQ56">
        <v>2</v>
      </c>
      <c r="AR56" t="s">
        <v>173</v>
      </c>
      <c r="AS56" t="e">
        <f>VLOOKUP(Z56,'folder names img count cmds'!I$4:I$651,2,FALSE)</f>
        <v>#REF!</v>
      </c>
      <c r="AT56" t="e">
        <f>VLOOKUP(Z56,'folder names img count cmds'!I$4:J$651,3,FALSE)</f>
        <v>#REF!</v>
      </c>
      <c r="AU56" t="e">
        <f t="shared" si="11"/>
        <v>#REF!</v>
      </c>
    </row>
    <row r="57" spans="1:47">
      <c r="A57">
        <v>15</v>
      </c>
      <c r="B57" s="1">
        <v>45045</v>
      </c>
      <c r="C57" t="s">
        <v>45</v>
      </c>
      <c r="D57" t="s">
        <v>46</v>
      </c>
      <c r="E57" t="s">
        <v>47</v>
      </c>
      <c r="F57" s="1">
        <v>45045</v>
      </c>
      <c r="G57" t="s">
        <v>45</v>
      </c>
      <c r="H57" t="s">
        <v>46</v>
      </c>
      <c r="I57" t="s">
        <v>47</v>
      </c>
      <c r="J57" t="s">
        <v>22</v>
      </c>
      <c r="K57" t="s">
        <v>22</v>
      </c>
      <c r="L57">
        <v>20</v>
      </c>
      <c r="M57">
        <v>80</v>
      </c>
      <c r="N57" t="s">
        <v>22</v>
      </c>
      <c r="O57" t="s">
        <v>22</v>
      </c>
      <c r="P57" s="3">
        <f t="shared" si="6"/>
        <v>2</v>
      </c>
      <c r="Q57" t="str">
        <f t="shared" si="1"/>
        <v>NA</v>
      </c>
      <c r="R57">
        <f t="shared" si="2"/>
        <v>1</v>
      </c>
      <c r="S57" t="str">
        <f t="shared" si="3"/>
        <v>NA</v>
      </c>
      <c r="T57" t="str">
        <f t="shared" si="4"/>
        <v>NA</v>
      </c>
      <c r="U57">
        <f t="shared" si="5"/>
        <v>1</v>
      </c>
      <c r="Z57" t="str">
        <f t="shared" si="10"/>
        <v>Quinsigamond#2023-09-05</v>
      </c>
      <c r="AA57" s="8" t="s">
        <v>185</v>
      </c>
      <c r="AB57" s="1">
        <v>45174</v>
      </c>
      <c r="AC57" t="s">
        <v>59</v>
      </c>
      <c r="AD57" t="s">
        <v>60</v>
      </c>
      <c r="AE57" t="s">
        <v>134</v>
      </c>
      <c r="AF57">
        <v>75</v>
      </c>
      <c r="AG57">
        <v>5</v>
      </c>
      <c r="AH57" t="s">
        <v>22</v>
      </c>
      <c r="AI57">
        <v>15</v>
      </c>
      <c r="AJ57" t="s">
        <v>22</v>
      </c>
      <c r="AK57">
        <v>5</v>
      </c>
      <c r="AL57" s="3">
        <v>4</v>
      </c>
      <c r="AM57">
        <v>1</v>
      </c>
      <c r="AN57" t="s">
        <v>22</v>
      </c>
      <c r="AO57" t="s">
        <v>22</v>
      </c>
      <c r="AP57">
        <v>1</v>
      </c>
      <c r="AQ57">
        <v>2</v>
      </c>
      <c r="AR57" t="s">
        <v>173</v>
      </c>
      <c r="AS57" t="e">
        <f>VLOOKUP(Z57,'folder names img count cmds'!I$4:I$651,2,FALSE)</f>
        <v>#REF!</v>
      </c>
      <c r="AT57" t="e">
        <f>VLOOKUP(Z57,'folder names img count cmds'!I$4:J$651,3,FALSE)</f>
        <v>#REF!</v>
      </c>
      <c r="AU57" t="e">
        <f t="shared" si="11"/>
        <v>#REF!</v>
      </c>
    </row>
    <row r="58" spans="1:47">
      <c r="A58">
        <v>17</v>
      </c>
      <c r="B58" s="1">
        <v>45045</v>
      </c>
      <c r="C58" t="s">
        <v>50</v>
      </c>
      <c r="D58" t="s">
        <v>51</v>
      </c>
      <c r="E58" t="s">
        <v>52</v>
      </c>
      <c r="F58" s="1">
        <v>45045</v>
      </c>
      <c r="G58" t="s">
        <v>50</v>
      </c>
      <c r="H58" t="s">
        <v>51</v>
      </c>
      <c r="I58" t="s">
        <v>52</v>
      </c>
      <c r="J58" t="s">
        <v>22</v>
      </c>
      <c r="K58" t="s">
        <v>22</v>
      </c>
      <c r="L58">
        <v>100</v>
      </c>
      <c r="M58" t="s">
        <v>22</v>
      </c>
      <c r="N58" t="s">
        <v>22</v>
      </c>
      <c r="O58" t="s">
        <v>22</v>
      </c>
      <c r="P58" s="3">
        <f t="shared" si="6"/>
        <v>1</v>
      </c>
      <c r="Q58" t="str">
        <f t="shared" si="1"/>
        <v>NA</v>
      </c>
      <c r="R58">
        <f t="shared" si="2"/>
        <v>1</v>
      </c>
      <c r="S58" t="str">
        <f t="shared" si="3"/>
        <v>NA</v>
      </c>
      <c r="T58" t="str">
        <f t="shared" si="4"/>
        <v>NA</v>
      </c>
      <c r="U58">
        <f t="shared" si="5"/>
        <v>1</v>
      </c>
      <c r="Z58" t="str">
        <f t="shared" si="10"/>
        <v>Jordan#2023-09-16</v>
      </c>
      <c r="AA58" s="8" t="s">
        <v>181</v>
      </c>
      <c r="AB58" s="1">
        <v>45185</v>
      </c>
      <c r="AC58" t="s">
        <v>48</v>
      </c>
      <c r="AD58" t="s">
        <v>49</v>
      </c>
      <c r="AE58" t="s">
        <v>137</v>
      </c>
      <c r="AF58" t="s">
        <v>22</v>
      </c>
      <c r="AG58" t="s">
        <v>22</v>
      </c>
      <c r="AH58">
        <v>75</v>
      </c>
      <c r="AI58">
        <v>5</v>
      </c>
      <c r="AJ58">
        <v>20</v>
      </c>
      <c r="AK58" t="s">
        <v>22</v>
      </c>
      <c r="AL58" s="3">
        <v>3</v>
      </c>
      <c r="AM58" t="s">
        <v>22</v>
      </c>
      <c r="AN58">
        <v>1</v>
      </c>
      <c r="AO58">
        <v>1</v>
      </c>
      <c r="AP58" t="s">
        <v>22</v>
      </c>
      <c r="AQ58">
        <v>2</v>
      </c>
      <c r="AR58" t="s">
        <v>173</v>
      </c>
      <c r="AS58" t="e">
        <f>VLOOKUP(Z58,'folder names img count cmds'!I$4:I$651,2,FALSE)</f>
        <v>#N/A</v>
      </c>
      <c r="AT58" t="e">
        <f>VLOOKUP(Z58,'folder names img count cmds'!I$4:J$651,3,FALSE)</f>
        <v>#N/A</v>
      </c>
      <c r="AU58" t="e">
        <f t="shared" si="11"/>
        <v>#N/A</v>
      </c>
    </row>
    <row r="59" spans="1:47">
      <c r="A59">
        <v>26</v>
      </c>
      <c r="B59" s="1">
        <v>45045</v>
      </c>
      <c r="C59" t="s">
        <v>72</v>
      </c>
      <c r="D59" t="s">
        <v>73</v>
      </c>
      <c r="E59" t="s">
        <v>52</v>
      </c>
      <c r="F59" s="1">
        <v>45045</v>
      </c>
      <c r="G59" t="s">
        <v>72</v>
      </c>
      <c r="H59" t="s">
        <v>73</v>
      </c>
      <c r="I59" t="s">
        <v>52</v>
      </c>
      <c r="J59" t="s">
        <v>22</v>
      </c>
      <c r="K59" t="s">
        <v>22</v>
      </c>
      <c r="L59">
        <v>100</v>
      </c>
      <c r="M59" t="s">
        <v>22</v>
      </c>
      <c r="N59" t="s">
        <v>22</v>
      </c>
      <c r="O59" t="s">
        <v>22</v>
      </c>
      <c r="P59" s="3">
        <f t="shared" si="6"/>
        <v>1</v>
      </c>
      <c r="Q59" t="str">
        <f t="shared" si="1"/>
        <v>NA</v>
      </c>
      <c r="R59">
        <f t="shared" si="2"/>
        <v>1</v>
      </c>
      <c r="S59" t="str">
        <f t="shared" si="3"/>
        <v>NA</v>
      </c>
      <c r="T59" t="str">
        <f t="shared" si="4"/>
        <v>NA</v>
      </c>
      <c r="U59">
        <f t="shared" si="5"/>
        <v>1</v>
      </c>
      <c r="Z59" t="str">
        <f t="shared" si="10"/>
        <v>Quinsigamond#2023-05-15</v>
      </c>
      <c r="AA59" s="8" t="s">
        <v>187</v>
      </c>
      <c r="AB59" s="1">
        <v>45061</v>
      </c>
      <c r="AC59" t="s">
        <v>59</v>
      </c>
      <c r="AD59" t="s">
        <v>60</v>
      </c>
      <c r="AE59" t="s">
        <v>52</v>
      </c>
      <c r="AF59" t="s">
        <v>22</v>
      </c>
      <c r="AG59" t="s">
        <v>22</v>
      </c>
      <c r="AH59">
        <v>100</v>
      </c>
      <c r="AI59" t="s">
        <v>22</v>
      </c>
      <c r="AJ59" t="s">
        <v>22</v>
      </c>
      <c r="AK59" t="s">
        <v>22</v>
      </c>
      <c r="AL59" s="3">
        <v>1</v>
      </c>
      <c r="AM59" t="s">
        <v>22</v>
      </c>
      <c r="AN59">
        <v>1</v>
      </c>
      <c r="AO59" t="s">
        <v>22</v>
      </c>
      <c r="AP59" t="s">
        <v>22</v>
      </c>
      <c r="AQ59">
        <v>1</v>
      </c>
      <c r="AR59" t="s">
        <v>173</v>
      </c>
      <c r="AS59" t="e">
        <f>VLOOKUP(Z59,'folder names img count cmds'!I$4:I$651,2,FALSE)</f>
        <v>#REF!</v>
      </c>
      <c r="AT59" t="e">
        <f>VLOOKUP(Z59,'folder names img count cmds'!I$4:J$651,3,FALSE)</f>
        <v>#REF!</v>
      </c>
      <c r="AU59" t="e">
        <f t="shared" si="11"/>
        <v>#REF!</v>
      </c>
    </row>
    <row r="60" spans="1:47">
      <c r="A60">
        <v>27</v>
      </c>
      <c r="B60" s="1">
        <v>45045</v>
      </c>
      <c r="C60" t="s">
        <v>74</v>
      </c>
      <c r="D60" t="s">
        <v>75</v>
      </c>
      <c r="E60" t="s">
        <v>76</v>
      </c>
      <c r="F60" s="1">
        <v>45045</v>
      </c>
      <c r="G60" t="s">
        <v>74</v>
      </c>
      <c r="H60" t="s">
        <v>75</v>
      </c>
      <c r="I60" t="s">
        <v>76</v>
      </c>
      <c r="J60" t="s">
        <v>22</v>
      </c>
      <c r="K60" t="s">
        <v>22</v>
      </c>
      <c r="L60">
        <v>90</v>
      </c>
      <c r="M60">
        <v>10</v>
      </c>
      <c r="N60" t="s">
        <v>22</v>
      </c>
      <c r="O60" t="s">
        <v>22</v>
      </c>
      <c r="P60" s="3">
        <f t="shared" si="6"/>
        <v>2</v>
      </c>
      <c r="Q60" t="str">
        <f t="shared" si="1"/>
        <v>NA</v>
      </c>
      <c r="R60">
        <f t="shared" si="2"/>
        <v>1</v>
      </c>
      <c r="S60" t="str">
        <f t="shared" si="3"/>
        <v>NA</v>
      </c>
      <c r="T60" t="str">
        <f t="shared" si="4"/>
        <v>NA</v>
      </c>
      <c r="U60">
        <f t="shared" si="5"/>
        <v>1</v>
      </c>
      <c r="Z60" t="str">
        <f t="shared" si="10"/>
        <v>L.Indian#2023-05-15</v>
      </c>
      <c r="AA60" s="8" t="s">
        <v>187</v>
      </c>
      <c r="AB60" s="1">
        <v>45061</v>
      </c>
      <c r="AC60" t="s">
        <v>63</v>
      </c>
      <c r="AD60" t="s">
        <v>64</v>
      </c>
      <c r="AE60" t="s">
        <v>52</v>
      </c>
      <c r="AF60" t="s">
        <v>22</v>
      </c>
      <c r="AG60" t="s">
        <v>22</v>
      </c>
      <c r="AH60">
        <v>100</v>
      </c>
      <c r="AI60" t="s">
        <v>22</v>
      </c>
      <c r="AJ60" t="s">
        <v>22</v>
      </c>
      <c r="AK60" t="s">
        <v>22</v>
      </c>
      <c r="AL60" s="3">
        <v>1</v>
      </c>
      <c r="AM60" t="s">
        <v>22</v>
      </c>
      <c r="AN60">
        <v>1</v>
      </c>
      <c r="AO60" t="s">
        <v>22</v>
      </c>
      <c r="AP60" t="s">
        <v>22</v>
      </c>
      <c r="AQ60">
        <v>1</v>
      </c>
      <c r="AR60" t="s">
        <v>173</v>
      </c>
      <c r="AS60" t="e">
        <f>VLOOKUP(Z60,'folder names img count cmds'!I$4:I$651,2,FALSE)</f>
        <v>#REF!</v>
      </c>
      <c r="AT60" t="e">
        <f>VLOOKUP(Z60,'folder names img count cmds'!I$4:J$651,3,FALSE)</f>
        <v>#REF!</v>
      </c>
      <c r="AU60" t="e">
        <f t="shared" si="11"/>
        <v>#REF!</v>
      </c>
    </row>
    <row r="61" spans="1:47">
      <c r="A61">
        <v>37</v>
      </c>
      <c r="B61" s="1">
        <v>45061</v>
      </c>
      <c r="C61" t="s">
        <v>29</v>
      </c>
      <c r="D61" t="s">
        <v>30</v>
      </c>
      <c r="E61" t="s">
        <v>83</v>
      </c>
      <c r="F61" s="1">
        <v>45061</v>
      </c>
      <c r="G61" t="s">
        <v>29</v>
      </c>
      <c r="H61" t="s">
        <v>30</v>
      </c>
      <c r="I61" t="s">
        <v>83</v>
      </c>
      <c r="J61" t="s">
        <v>22</v>
      </c>
      <c r="K61">
        <v>10</v>
      </c>
      <c r="L61">
        <v>10</v>
      </c>
      <c r="M61">
        <v>80</v>
      </c>
      <c r="N61" t="s">
        <v>22</v>
      </c>
      <c r="O61" t="s">
        <v>22</v>
      </c>
      <c r="P61" s="3">
        <f t="shared" si="6"/>
        <v>3</v>
      </c>
      <c r="Q61" t="str">
        <f t="shared" si="1"/>
        <v>NA</v>
      </c>
      <c r="R61">
        <f t="shared" si="2"/>
        <v>1</v>
      </c>
      <c r="S61" t="str">
        <f t="shared" si="3"/>
        <v>NA</v>
      </c>
      <c r="T61" t="str">
        <f t="shared" si="4"/>
        <v>NA</v>
      </c>
      <c r="U61">
        <f t="shared" si="5"/>
        <v>1</v>
      </c>
      <c r="Z61" t="str">
        <f t="shared" si="10"/>
        <v>Indian#2023-05-27</v>
      </c>
      <c r="AA61" s="8" t="s">
        <v>188</v>
      </c>
      <c r="AB61" s="1">
        <v>45073</v>
      </c>
      <c r="AC61" t="s">
        <v>45</v>
      </c>
      <c r="AD61" t="s">
        <v>46</v>
      </c>
      <c r="AE61" t="s">
        <v>88</v>
      </c>
      <c r="AF61" t="s">
        <v>22</v>
      </c>
      <c r="AG61" t="s">
        <v>22</v>
      </c>
      <c r="AH61">
        <v>10</v>
      </c>
      <c r="AI61">
        <v>90</v>
      </c>
      <c r="AJ61" t="s">
        <v>22</v>
      </c>
      <c r="AK61" t="s">
        <v>22</v>
      </c>
      <c r="AL61" s="3">
        <v>2</v>
      </c>
      <c r="AM61" t="s">
        <v>22</v>
      </c>
      <c r="AN61">
        <v>1</v>
      </c>
      <c r="AO61" t="s">
        <v>22</v>
      </c>
      <c r="AP61" t="s">
        <v>22</v>
      </c>
      <c r="AQ61">
        <v>1</v>
      </c>
      <c r="AR61" t="s">
        <v>173</v>
      </c>
      <c r="AS61" t="e">
        <f>VLOOKUP(Z61,'folder names img count cmds'!I$4:I$651,2,FALSE)</f>
        <v>#REF!</v>
      </c>
      <c r="AT61" t="e">
        <f>VLOOKUP(Z61,'folder names img count cmds'!I$4:J$651,3,FALSE)</f>
        <v>#REF!</v>
      </c>
      <c r="AU61" t="e">
        <f t="shared" si="11"/>
        <v>#REF!</v>
      </c>
    </row>
    <row r="62" spans="1:47">
      <c r="A62">
        <v>50</v>
      </c>
      <c r="B62" s="1">
        <v>45061</v>
      </c>
      <c r="C62" t="s">
        <v>59</v>
      </c>
      <c r="D62" t="s">
        <v>60</v>
      </c>
      <c r="E62" t="s">
        <v>52</v>
      </c>
      <c r="F62" s="1">
        <v>45061</v>
      </c>
      <c r="G62" t="s">
        <v>59</v>
      </c>
      <c r="H62" t="s">
        <v>60</v>
      </c>
      <c r="I62" t="s">
        <v>52</v>
      </c>
      <c r="J62" t="s">
        <v>22</v>
      </c>
      <c r="K62" t="s">
        <v>22</v>
      </c>
      <c r="L62">
        <v>100</v>
      </c>
      <c r="M62" t="s">
        <v>22</v>
      </c>
      <c r="N62" t="s">
        <v>22</v>
      </c>
      <c r="O62" t="s">
        <v>22</v>
      </c>
      <c r="P62" s="3">
        <f t="shared" si="6"/>
        <v>1</v>
      </c>
      <c r="Q62" t="str">
        <f t="shared" si="1"/>
        <v>NA</v>
      </c>
      <c r="R62">
        <f t="shared" si="2"/>
        <v>1</v>
      </c>
      <c r="S62" t="str">
        <f t="shared" si="3"/>
        <v>NA</v>
      </c>
      <c r="T62" t="str">
        <f t="shared" si="4"/>
        <v>NA</v>
      </c>
      <c r="U62">
        <f t="shared" si="5"/>
        <v>1</v>
      </c>
      <c r="V62" t="s">
        <v>173</v>
      </c>
      <c r="Z62" t="str">
        <f t="shared" si="10"/>
        <v>Salisbury#2023-05-27</v>
      </c>
      <c r="AA62" s="8" t="s">
        <v>188</v>
      </c>
      <c r="AB62" s="1">
        <v>45073</v>
      </c>
      <c r="AC62" t="s">
        <v>74</v>
      </c>
      <c r="AD62" t="s">
        <v>75</v>
      </c>
      <c r="AE62" t="s">
        <v>89</v>
      </c>
      <c r="AF62" t="s">
        <v>22</v>
      </c>
      <c r="AG62" t="s">
        <v>22</v>
      </c>
      <c r="AH62">
        <v>25</v>
      </c>
      <c r="AI62">
        <v>75</v>
      </c>
      <c r="AJ62" t="s">
        <v>22</v>
      </c>
      <c r="AK62" t="s">
        <v>22</v>
      </c>
      <c r="AL62" s="3">
        <v>2</v>
      </c>
      <c r="AM62" t="s">
        <v>22</v>
      </c>
      <c r="AN62">
        <v>1</v>
      </c>
      <c r="AO62" t="s">
        <v>22</v>
      </c>
      <c r="AP62" t="s">
        <v>22</v>
      </c>
      <c r="AQ62">
        <v>1</v>
      </c>
      <c r="AR62" t="s">
        <v>173</v>
      </c>
      <c r="AS62" t="e">
        <f>VLOOKUP(Z62,'folder names img count cmds'!I$4:I$651,2,FALSE)</f>
        <v>#REF!</v>
      </c>
      <c r="AT62" t="e">
        <f>VLOOKUP(Z62,'folder names img count cmds'!I$4:J$651,3,FALSE)</f>
        <v>#REF!</v>
      </c>
      <c r="AU62" t="e">
        <f t="shared" si="11"/>
        <v>#REF!</v>
      </c>
    </row>
    <row r="63" spans="1:47">
      <c r="A63">
        <v>52</v>
      </c>
      <c r="B63" s="1">
        <v>45061</v>
      </c>
      <c r="C63" t="s">
        <v>63</v>
      </c>
      <c r="D63" t="s">
        <v>64</v>
      </c>
      <c r="E63" t="s">
        <v>52</v>
      </c>
      <c r="F63" s="1">
        <v>45061</v>
      </c>
      <c r="G63" t="s">
        <v>63</v>
      </c>
      <c r="H63" t="s">
        <v>64</v>
      </c>
      <c r="I63" t="s">
        <v>52</v>
      </c>
      <c r="J63" t="s">
        <v>22</v>
      </c>
      <c r="K63" t="s">
        <v>22</v>
      </c>
      <c r="L63">
        <v>100</v>
      </c>
      <c r="M63" t="s">
        <v>22</v>
      </c>
      <c r="N63" t="s">
        <v>22</v>
      </c>
      <c r="O63" t="s">
        <v>22</v>
      </c>
      <c r="P63" s="3">
        <f t="shared" si="6"/>
        <v>1</v>
      </c>
      <c r="Q63" t="str">
        <f t="shared" si="1"/>
        <v>NA</v>
      </c>
      <c r="R63">
        <f t="shared" si="2"/>
        <v>1</v>
      </c>
      <c r="S63" t="str">
        <f t="shared" si="3"/>
        <v>NA</v>
      </c>
      <c r="T63" t="str">
        <f t="shared" si="4"/>
        <v>NA</v>
      </c>
      <c r="U63">
        <f t="shared" si="5"/>
        <v>1</v>
      </c>
      <c r="V63" t="s">
        <v>173</v>
      </c>
      <c r="Z63" t="str">
        <f t="shared" si="10"/>
        <v>Patch.P#2023-07-22</v>
      </c>
      <c r="AA63" s="8" t="s">
        <v>183</v>
      </c>
      <c r="AB63" s="1">
        <v>45129</v>
      </c>
      <c r="AC63" t="s">
        <v>70</v>
      </c>
      <c r="AD63" t="s">
        <v>71</v>
      </c>
      <c r="AE63" t="s">
        <v>110</v>
      </c>
      <c r="AF63" t="s">
        <v>22</v>
      </c>
      <c r="AG63" t="s">
        <v>22</v>
      </c>
      <c r="AH63" t="s">
        <v>22</v>
      </c>
      <c r="AI63" t="s">
        <v>22</v>
      </c>
      <c r="AJ63">
        <v>100</v>
      </c>
      <c r="AK63" t="s">
        <v>22</v>
      </c>
      <c r="AL63" s="3">
        <v>1</v>
      </c>
      <c r="AM63" t="s">
        <v>22</v>
      </c>
      <c r="AN63" t="s">
        <v>22</v>
      </c>
      <c r="AO63">
        <v>1</v>
      </c>
      <c r="AP63" t="s">
        <v>22</v>
      </c>
      <c r="AQ63">
        <v>1</v>
      </c>
      <c r="AR63" t="s">
        <v>173</v>
      </c>
      <c r="AS63" t="e">
        <f>VLOOKUP(Z63,'folder names img count cmds'!I$4:I$651,2,FALSE)</f>
        <v>#REF!</v>
      </c>
      <c r="AT63" t="e">
        <f>VLOOKUP(Z63,'folder names img count cmds'!I$4:J$651,3,FALSE)</f>
        <v>#REF!</v>
      </c>
      <c r="AU63" t="e">
        <f t="shared" si="11"/>
        <v>#REF!</v>
      </c>
    </row>
    <row r="64" spans="1:47">
      <c r="A64">
        <v>75</v>
      </c>
      <c r="B64" s="1">
        <v>45073</v>
      </c>
      <c r="C64" t="s">
        <v>45</v>
      </c>
      <c r="D64" t="s">
        <v>46</v>
      </c>
      <c r="E64" t="s">
        <v>88</v>
      </c>
      <c r="F64" s="1">
        <v>45073</v>
      </c>
      <c r="G64" t="s">
        <v>45</v>
      </c>
      <c r="H64" t="s">
        <v>46</v>
      </c>
      <c r="I64" t="s">
        <v>88</v>
      </c>
      <c r="J64" t="s">
        <v>22</v>
      </c>
      <c r="K64" t="s">
        <v>22</v>
      </c>
      <c r="L64">
        <v>10</v>
      </c>
      <c r="M64">
        <v>90</v>
      </c>
      <c r="N64" t="s">
        <v>22</v>
      </c>
      <c r="O64" t="s">
        <v>22</v>
      </c>
      <c r="P64" s="3">
        <f t="shared" si="6"/>
        <v>2</v>
      </c>
      <c r="Q64" t="str">
        <f t="shared" si="1"/>
        <v>NA</v>
      </c>
      <c r="R64">
        <f t="shared" si="2"/>
        <v>1</v>
      </c>
      <c r="S64" t="str">
        <f t="shared" si="3"/>
        <v>NA</v>
      </c>
      <c r="T64" t="str">
        <f t="shared" si="4"/>
        <v>NA</v>
      </c>
      <c r="U64">
        <f t="shared" si="5"/>
        <v>1</v>
      </c>
      <c r="V64" t="s">
        <v>173</v>
      </c>
      <c r="Z64" t="str">
        <f t="shared" si="10"/>
        <v>Patch.R#2023-07-22</v>
      </c>
      <c r="AA64" s="8" t="s">
        <v>183</v>
      </c>
      <c r="AB64" s="1">
        <v>45129</v>
      </c>
      <c r="AC64" t="s">
        <v>72</v>
      </c>
      <c r="AD64" t="s">
        <v>73</v>
      </c>
      <c r="AE64" t="s">
        <v>110</v>
      </c>
      <c r="AF64" t="s">
        <v>22</v>
      </c>
      <c r="AG64" t="s">
        <v>22</v>
      </c>
      <c r="AH64" t="s">
        <v>22</v>
      </c>
      <c r="AI64" t="s">
        <v>22</v>
      </c>
      <c r="AJ64">
        <v>100</v>
      </c>
      <c r="AK64" t="s">
        <v>22</v>
      </c>
      <c r="AL64" s="3">
        <v>1</v>
      </c>
      <c r="AM64" t="s">
        <v>22</v>
      </c>
      <c r="AN64" t="s">
        <v>22</v>
      </c>
      <c r="AO64">
        <v>1</v>
      </c>
      <c r="AP64" t="s">
        <v>22</v>
      </c>
      <c r="AQ64">
        <v>1</v>
      </c>
      <c r="AR64" t="s">
        <v>173</v>
      </c>
      <c r="AS64" t="e">
        <f>VLOOKUP(Z64,'folder names img count cmds'!I$4:I$651,2,FALSE)</f>
        <v>#REF!</v>
      </c>
      <c r="AT64" t="e">
        <f>VLOOKUP(Z64,'folder names img count cmds'!I$4:J$651,3,FALSE)</f>
        <v>#REF!</v>
      </c>
      <c r="AU64" t="e">
        <f t="shared" si="11"/>
        <v>#REF!</v>
      </c>
    </row>
    <row r="65" spans="1:47">
      <c r="A65">
        <v>87</v>
      </c>
      <c r="B65" s="1">
        <v>45073</v>
      </c>
      <c r="C65" t="s">
        <v>74</v>
      </c>
      <c r="D65" t="s">
        <v>75</v>
      </c>
      <c r="E65" t="s">
        <v>89</v>
      </c>
      <c r="F65" s="1">
        <v>45073</v>
      </c>
      <c r="G65" t="s">
        <v>74</v>
      </c>
      <c r="H65" t="s">
        <v>75</v>
      </c>
      <c r="I65" t="s">
        <v>89</v>
      </c>
      <c r="J65" t="s">
        <v>22</v>
      </c>
      <c r="K65" t="s">
        <v>22</v>
      </c>
      <c r="L65">
        <v>25</v>
      </c>
      <c r="M65">
        <v>75</v>
      </c>
      <c r="N65" t="s">
        <v>22</v>
      </c>
      <c r="O65" t="s">
        <v>22</v>
      </c>
      <c r="P65" s="3">
        <f t="shared" si="6"/>
        <v>2</v>
      </c>
      <c r="Q65" t="str">
        <f t="shared" si="1"/>
        <v>NA</v>
      </c>
      <c r="R65">
        <f t="shared" si="2"/>
        <v>1</v>
      </c>
      <c r="S65" t="str">
        <f t="shared" si="3"/>
        <v>NA</v>
      </c>
      <c r="T65" t="str">
        <f t="shared" si="4"/>
        <v>NA</v>
      </c>
      <c r="U65">
        <f t="shared" si="5"/>
        <v>1</v>
      </c>
      <c r="V65" t="s">
        <v>173</v>
      </c>
      <c r="Z65" t="str">
        <f t="shared" si="10"/>
        <v>Patch.R#2023-08-07</v>
      </c>
      <c r="AA65" s="8" t="s">
        <v>180</v>
      </c>
      <c r="AB65" s="1">
        <v>45145</v>
      </c>
      <c r="AC65" t="s">
        <v>72</v>
      </c>
      <c r="AD65" t="s">
        <v>73</v>
      </c>
      <c r="AE65" t="s">
        <v>110</v>
      </c>
      <c r="AF65" t="s">
        <v>22</v>
      </c>
      <c r="AG65" t="s">
        <v>22</v>
      </c>
      <c r="AH65" t="s">
        <v>22</v>
      </c>
      <c r="AI65" t="s">
        <v>22</v>
      </c>
      <c r="AJ65">
        <v>100</v>
      </c>
      <c r="AK65" t="s">
        <v>22</v>
      </c>
      <c r="AL65" s="3">
        <v>1</v>
      </c>
      <c r="AM65" t="s">
        <v>22</v>
      </c>
      <c r="AN65" t="s">
        <v>22</v>
      </c>
      <c r="AO65">
        <v>1</v>
      </c>
      <c r="AP65" t="s">
        <v>22</v>
      </c>
      <c r="AQ65">
        <v>1</v>
      </c>
      <c r="AR65" t="s">
        <v>173</v>
      </c>
      <c r="AS65" t="e">
        <f>VLOOKUP(Z65,'folder names img count cmds'!I$4:I$651,2,FALSE)</f>
        <v>#REF!</v>
      </c>
      <c r="AT65" t="e">
        <f>VLOOKUP(Z65,'folder names img count cmds'!I$4:J$651,3,FALSE)</f>
        <v>#REF!</v>
      </c>
      <c r="AU65" t="e">
        <f t="shared" si="11"/>
        <v>#REF!</v>
      </c>
    </row>
    <row r="66" spans="1:47">
      <c r="A66">
        <v>105</v>
      </c>
      <c r="B66" s="1">
        <v>45089</v>
      </c>
      <c r="C66" t="s">
        <v>45</v>
      </c>
      <c r="D66" t="s">
        <v>46</v>
      </c>
      <c r="E66" t="s">
        <v>47</v>
      </c>
      <c r="F66" s="1">
        <v>45089</v>
      </c>
      <c r="G66" t="s">
        <v>45</v>
      </c>
      <c r="H66" t="s">
        <v>46</v>
      </c>
      <c r="I66" t="s">
        <v>47</v>
      </c>
      <c r="J66" t="s">
        <v>22</v>
      </c>
      <c r="K66" t="s">
        <v>22</v>
      </c>
      <c r="L66">
        <v>20</v>
      </c>
      <c r="M66">
        <v>80</v>
      </c>
      <c r="N66" t="s">
        <v>22</v>
      </c>
      <c r="O66" t="s">
        <v>22</v>
      </c>
      <c r="P66" s="3">
        <f t="shared" si="6"/>
        <v>2</v>
      </c>
      <c r="Q66" t="str">
        <f t="shared" si="1"/>
        <v>NA</v>
      </c>
      <c r="R66">
        <f t="shared" si="2"/>
        <v>1</v>
      </c>
      <c r="S66" t="str">
        <f t="shared" si="3"/>
        <v>NA</v>
      </c>
      <c r="T66" t="str">
        <f t="shared" si="4"/>
        <v>NA</v>
      </c>
      <c r="U66">
        <f t="shared" si="5"/>
        <v>1</v>
      </c>
      <c r="V66" t="s">
        <v>173</v>
      </c>
    </row>
    <row r="67" spans="1:47">
      <c r="A67">
        <v>122</v>
      </c>
      <c r="B67" s="1">
        <v>45117</v>
      </c>
      <c r="C67" t="s">
        <v>16</v>
      </c>
      <c r="D67" t="s">
        <v>17</v>
      </c>
      <c r="E67" t="s">
        <v>97</v>
      </c>
      <c r="F67" s="1">
        <v>45117</v>
      </c>
      <c r="G67" t="s">
        <v>16</v>
      </c>
      <c r="H67" t="s">
        <v>17</v>
      </c>
      <c r="I67" t="s">
        <v>97</v>
      </c>
      <c r="J67" t="s">
        <v>22</v>
      </c>
      <c r="K67">
        <v>75</v>
      </c>
      <c r="L67">
        <v>25</v>
      </c>
      <c r="M67" t="s">
        <v>22</v>
      </c>
      <c r="N67" t="s">
        <v>22</v>
      </c>
      <c r="O67" t="s">
        <v>22</v>
      </c>
      <c r="P67" s="3">
        <f t="shared" si="6"/>
        <v>2</v>
      </c>
      <c r="Q67" t="str">
        <f t="shared" si="1"/>
        <v>NA</v>
      </c>
      <c r="R67">
        <f t="shared" si="2"/>
        <v>1</v>
      </c>
      <c r="S67" t="str">
        <f t="shared" si="3"/>
        <v>NA</v>
      </c>
      <c r="T67" t="str">
        <f t="shared" si="4"/>
        <v>NA</v>
      </c>
      <c r="U67">
        <f t="shared" si="5"/>
        <v>1</v>
      </c>
    </row>
    <row r="68" spans="1:47">
      <c r="A68">
        <v>138</v>
      </c>
      <c r="B68" s="1">
        <v>45117</v>
      </c>
      <c r="C68" t="s">
        <v>53</v>
      </c>
      <c r="D68" t="s">
        <v>54</v>
      </c>
      <c r="E68" t="s">
        <v>101</v>
      </c>
      <c r="F68" s="1">
        <v>45117</v>
      </c>
      <c r="G68" t="s">
        <v>53</v>
      </c>
      <c r="H68" t="s">
        <v>54</v>
      </c>
      <c r="I68" t="s">
        <v>101</v>
      </c>
      <c r="J68" t="s">
        <v>22</v>
      </c>
      <c r="K68">
        <v>50</v>
      </c>
      <c r="L68">
        <v>25</v>
      </c>
      <c r="M68">
        <v>25</v>
      </c>
      <c r="N68" t="s">
        <v>22</v>
      </c>
      <c r="O68" t="s">
        <v>22</v>
      </c>
      <c r="P68" s="3">
        <f t="shared" si="6"/>
        <v>3</v>
      </c>
      <c r="Q68" t="str">
        <f t="shared" ref="Q68:Q131" si="12">IF(NOT(J68="NA"),1,"NA")</f>
        <v>NA</v>
      </c>
      <c r="R68">
        <f t="shared" ref="R68:R131" si="13">IF(NOT(L68="NA"),1,"NA")</f>
        <v>1</v>
      </c>
      <c r="S68" t="str">
        <f t="shared" ref="S68:S131" si="14">IF(NOT(N68="NA"),1,"NA")</f>
        <v>NA</v>
      </c>
      <c r="T68" t="str">
        <f t="shared" ref="T68:T131" si="15">IF(NOT(O68="NA"),1,"NA")</f>
        <v>NA</v>
      </c>
      <c r="U68">
        <f t="shared" ref="U68:U131" si="16">SUM(Q68:T68)</f>
        <v>1</v>
      </c>
    </row>
    <row r="69" spans="1:47">
      <c r="A69">
        <v>139</v>
      </c>
      <c r="B69" s="1">
        <v>45117</v>
      </c>
      <c r="C69" t="s">
        <v>56</v>
      </c>
      <c r="D69" t="s">
        <v>57</v>
      </c>
      <c r="E69" t="s">
        <v>52</v>
      </c>
      <c r="F69" s="1">
        <v>45117</v>
      </c>
      <c r="G69" t="s">
        <v>56</v>
      </c>
      <c r="H69" t="s">
        <v>57</v>
      </c>
      <c r="I69" t="s">
        <v>52</v>
      </c>
      <c r="J69" t="s">
        <v>22</v>
      </c>
      <c r="K69" t="s">
        <v>22</v>
      </c>
      <c r="L69">
        <v>100</v>
      </c>
      <c r="M69" t="s">
        <v>22</v>
      </c>
      <c r="N69" t="s">
        <v>22</v>
      </c>
      <c r="O69" t="s">
        <v>22</v>
      </c>
      <c r="P69" s="3">
        <f t="shared" ref="P69:P132" si="17">COUNTA(J69:O69)-COUNTIF(J69:O69,"NA")</f>
        <v>1</v>
      </c>
      <c r="Q69" t="str">
        <f t="shared" si="12"/>
        <v>NA</v>
      </c>
      <c r="R69">
        <f t="shared" si="13"/>
        <v>1</v>
      </c>
      <c r="S69" t="str">
        <f t="shared" si="14"/>
        <v>NA</v>
      </c>
      <c r="T69" t="str">
        <f t="shared" si="15"/>
        <v>NA</v>
      </c>
      <c r="U69">
        <f t="shared" si="16"/>
        <v>1</v>
      </c>
      <c r="V69" t="s">
        <v>173</v>
      </c>
    </row>
    <row r="70" spans="1:47">
      <c r="A70">
        <v>165</v>
      </c>
      <c r="B70" s="1">
        <v>45129</v>
      </c>
      <c r="C70" t="s">
        <v>45</v>
      </c>
      <c r="D70" t="s">
        <v>46</v>
      </c>
      <c r="E70" t="s">
        <v>106</v>
      </c>
      <c r="F70" s="1">
        <v>45129</v>
      </c>
      <c r="G70" t="s">
        <v>45</v>
      </c>
      <c r="H70" t="s">
        <v>46</v>
      </c>
      <c r="I70" t="s">
        <v>106</v>
      </c>
      <c r="J70" t="s">
        <v>22</v>
      </c>
      <c r="K70">
        <v>50</v>
      </c>
      <c r="L70">
        <v>25</v>
      </c>
      <c r="M70" t="s">
        <v>22</v>
      </c>
      <c r="N70" t="s">
        <v>22</v>
      </c>
      <c r="O70" t="s">
        <v>22</v>
      </c>
      <c r="P70" s="3">
        <f t="shared" si="17"/>
        <v>2</v>
      </c>
      <c r="Q70" t="str">
        <f t="shared" si="12"/>
        <v>NA</v>
      </c>
      <c r="R70">
        <f t="shared" si="13"/>
        <v>1</v>
      </c>
      <c r="S70" t="str">
        <f t="shared" si="14"/>
        <v>NA</v>
      </c>
      <c r="T70" t="str">
        <f t="shared" si="15"/>
        <v>NA</v>
      </c>
      <c r="U70">
        <f t="shared" si="16"/>
        <v>1</v>
      </c>
    </row>
    <row r="71" spans="1:47">
      <c r="A71">
        <v>173</v>
      </c>
      <c r="B71" s="1">
        <v>45129</v>
      </c>
      <c r="C71" t="s">
        <v>66</v>
      </c>
      <c r="D71" t="s">
        <v>67</v>
      </c>
      <c r="E71" t="s">
        <v>97</v>
      </c>
      <c r="F71" s="1">
        <v>45129</v>
      </c>
      <c r="G71" t="s">
        <v>66</v>
      </c>
      <c r="H71" t="s">
        <v>67</v>
      </c>
      <c r="I71" t="s">
        <v>97</v>
      </c>
      <c r="J71" t="s">
        <v>22</v>
      </c>
      <c r="K71">
        <v>75</v>
      </c>
      <c r="L71">
        <v>25</v>
      </c>
      <c r="M71" t="s">
        <v>22</v>
      </c>
      <c r="N71" t="s">
        <v>22</v>
      </c>
      <c r="O71" t="s">
        <v>22</v>
      </c>
      <c r="P71" s="3">
        <f t="shared" si="17"/>
        <v>2</v>
      </c>
      <c r="Q71" t="str">
        <f t="shared" si="12"/>
        <v>NA</v>
      </c>
      <c r="R71">
        <f t="shared" si="13"/>
        <v>1</v>
      </c>
      <c r="S71" t="str">
        <f t="shared" si="14"/>
        <v>NA</v>
      </c>
      <c r="T71" t="str">
        <f t="shared" si="15"/>
        <v>NA</v>
      </c>
      <c r="U71">
        <f t="shared" si="16"/>
        <v>1</v>
      </c>
    </row>
    <row r="72" spans="1:47">
      <c r="A72">
        <v>202</v>
      </c>
      <c r="B72" s="1">
        <v>45145</v>
      </c>
      <c r="C72" t="s">
        <v>63</v>
      </c>
      <c r="D72" t="s">
        <v>64</v>
      </c>
      <c r="E72" t="s">
        <v>97</v>
      </c>
      <c r="F72" s="1">
        <v>45145</v>
      </c>
      <c r="G72" t="s">
        <v>63</v>
      </c>
      <c r="H72" t="s">
        <v>64</v>
      </c>
      <c r="I72" t="s">
        <v>97</v>
      </c>
      <c r="J72" t="s">
        <v>22</v>
      </c>
      <c r="K72">
        <v>75</v>
      </c>
      <c r="L72">
        <v>25</v>
      </c>
      <c r="M72" t="s">
        <v>22</v>
      </c>
      <c r="N72" t="s">
        <v>22</v>
      </c>
      <c r="O72" t="s">
        <v>22</v>
      </c>
      <c r="P72" s="3">
        <f t="shared" si="17"/>
        <v>2</v>
      </c>
      <c r="Q72" t="str">
        <f t="shared" si="12"/>
        <v>NA</v>
      </c>
      <c r="R72">
        <f t="shared" si="13"/>
        <v>1</v>
      </c>
      <c r="S72" t="str">
        <f t="shared" si="14"/>
        <v>NA</v>
      </c>
      <c r="T72" t="str">
        <f t="shared" si="15"/>
        <v>NA</v>
      </c>
      <c r="U72">
        <f t="shared" si="16"/>
        <v>1</v>
      </c>
    </row>
    <row r="73" spans="1:47">
      <c r="A73">
        <v>256</v>
      </c>
      <c r="B73" s="1">
        <v>45174</v>
      </c>
      <c r="C73" t="s">
        <v>48</v>
      </c>
      <c r="D73" t="s">
        <v>49</v>
      </c>
      <c r="E73" t="s">
        <v>89</v>
      </c>
      <c r="F73" s="1">
        <v>45174</v>
      </c>
      <c r="G73" t="s">
        <v>48</v>
      </c>
      <c r="H73" t="s">
        <v>49</v>
      </c>
      <c r="I73" t="s">
        <v>89</v>
      </c>
      <c r="J73" t="s">
        <v>22</v>
      </c>
      <c r="K73" t="s">
        <v>22</v>
      </c>
      <c r="L73">
        <v>25</v>
      </c>
      <c r="M73">
        <v>75</v>
      </c>
      <c r="N73" t="s">
        <v>22</v>
      </c>
      <c r="O73" t="s">
        <v>22</v>
      </c>
      <c r="P73" s="3">
        <f t="shared" si="17"/>
        <v>2</v>
      </c>
      <c r="Q73" t="str">
        <f t="shared" si="12"/>
        <v>NA</v>
      </c>
      <c r="R73">
        <f t="shared" si="13"/>
        <v>1</v>
      </c>
      <c r="S73" t="str">
        <f t="shared" si="14"/>
        <v>NA</v>
      </c>
      <c r="T73" t="str">
        <f t="shared" si="15"/>
        <v>NA</v>
      </c>
      <c r="U73">
        <f t="shared" si="16"/>
        <v>1</v>
      </c>
      <c r="V73" t="s">
        <v>173</v>
      </c>
    </row>
    <row r="74" spans="1:47">
      <c r="A74">
        <v>263</v>
      </c>
      <c r="B74" s="1">
        <v>45174</v>
      </c>
      <c r="C74" t="s">
        <v>66</v>
      </c>
      <c r="D74" t="s">
        <v>67</v>
      </c>
      <c r="E74" t="s">
        <v>52</v>
      </c>
      <c r="F74" s="1">
        <v>45174</v>
      </c>
      <c r="G74" t="s">
        <v>66</v>
      </c>
      <c r="H74" t="s">
        <v>67</v>
      </c>
      <c r="I74" t="s">
        <v>52</v>
      </c>
      <c r="J74" t="s">
        <v>22</v>
      </c>
      <c r="K74" t="s">
        <v>22</v>
      </c>
      <c r="L74">
        <v>100</v>
      </c>
      <c r="M74" t="s">
        <v>22</v>
      </c>
      <c r="N74" t="s">
        <v>22</v>
      </c>
      <c r="O74" t="s">
        <v>22</v>
      </c>
      <c r="P74" s="3">
        <f t="shared" si="17"/>
        <v>1</v>
      </c>
      <c r="Q74" t="str">
        <f t="shared" si="12"/>
        <v>NA</v>
      </c>
      <c r="R74">
        <f t="shared" si="13"/>
        <v>1</v>
      </c>
      <c r="S74" t="str">
        <f t="shared" si="14"/>
        <v>NA</v>
      </c>
      <c r="T74" t="str">
        <f t="shared" si="15"/>
        <v>NA</v>
      </c>
      <c r="U74">
        <f t="shared" si="16"/>
        <v>1</v>
      </c>
    </row>
    <row r="75" spans="1:47">
      <c r="A75">
        <v>293</v>
      </c>
      <c r="B75" s="1">
        <v>45185</v>
      </c>
      <c r="C75" t="s">
        <v>66</v>
      </c>
      <c r="D75" t="s">
        <v>67</v>
      </c>
      <c r="E75" t="s">
        <v>142</v>
      </c>
      <c r="F75" s="1">
        <v>45185</v>
      </c>
      <c r="G75" t="s">
        <v>66</v>
      </c>
      <c r="H75" t="s">
        <v>67</v>
      </c>
      <c r="I75" t="s">
        <v>142</v>
      </c>
      <c r="J75" t="s">
        <v>22</v>
      </c>
      <c r="K75">
        <v>50</v>
      </c>
      <c r="L75">
        <v>50</v>
      </c>
      <c r="M75" t="s">
        <v>22</v>
      </c>
      <c r="N75" t="s">
        <v>22</v>
      </c>
      <c r="O75" t="s">
        <v>22</v>
      </c>
      <c r="P75" s="3">
        <f t="shared" si="17"/>
        <v>2</v>
      </c>
      <c r="Q75" t="str">
        <f t="shared" si="12"/>
        <v>NA</v>
      </c>
      <c r="R75">
        <f t="shared" si="13"/>
        <v>1</v>
      </c>
      <c r="S75" t="str">
        <f t="shared" si="14"/>
        <v>NA</v>
      </c>
      <c r="T75" t="str">
        <f t="shared" si="15"/>
        <v>NA</v>
      </c>
      <c r="U75">
        <f t="shared" si="16"/>
        <v>1</v>
      </c>
    </row>
    <row r="76" spans="1:47">
      <c r="A76">
        <v>316</v>
      </c>
      <c r="B76" s="1">
        <v>45201</v>
      </c>
      <c r="C76" t="s">
        <v>48</v>
      </c>
      <c r="D76" t="s">
        <v>49</v>
      </c>
      <c r="E76" t="s">
        <v>52</v>
      </c>
      <c r="F76" s="1">
        <v>45201</v>
      </c>
      <c r="G76" t="s">
        <v>48</v>
      </c>
      <c r="H76" t="s">
        <v>49</v>
      </c>
      <c r="I76" t="s">
        <v>52</v>
      </c>
      <c r="J76" t="s">
        <v>22</v>
      </c>
      <c r="K76" t="s">
        <v>22</v>
      </c>
      <c r="L76">
        <v>100</v>
      </c>
      <c r="M76" t="s">
        <v>22</v>
      </c>
      <c r="N76" t="s">
        <v>22</v>
      </c>
      <c r="O76" t="s">
        <v>22</v>
      </c>
      <c r="P76" s="3">
        <f t="shared" si="17"/>
        <v>1</v>
      </c>
      <c r="Q76" t="str">
        <f t="shared" si="12"/>
        <v>NA</v>
      </c>
      <c r="R76">
        <f t="shared" si="13"/>
        <v>1</v>
      </c>
      <c r="S76" t="str">
        <f t="shared" si="14"/>
        <v>NA</v>
      </c>
      <c r="T76" t="str">
        <f t="shared" si="15"/>
        <v>NA</v>
      </c>
      <c r="U76">
        <f t="shared" si="16"/>
        <v>1</v>
      </c>
    </row>
    <row r="77" spans="1:47">
      <c r="A77">
        <v>352</v>
      </c>
      <c r="B77" s="1">
        <v>45213</v>
      </c>
      <c r="C77" t="s">
        <v>63</v>
      </c>
      <c r="D77" t="s">
        <v>64</v>
      </c>
      <c r="E77" t="s">
        <v>52</v>
      </c>
      <c r="F77" s="1">
        <v>45213</v>
      </c>
      <c r="G77" t="s">
        <v>63</v>
      </c>
      <c r="H77" t="s">
        <v>64</v>
      </c>
      <c r="I77" t="s">
        <v>52</v>
      </c>
      <c r="J77" t="s">
        <v>22</v>
      </c>
      <c r="K77" t="s">
        <v>22</v>
      </c>
      <c r="L77">
        <v>100</v>
      </c>
      <c r="M77" t="s">
        <v>22</v>
      </c>
      <c r="N77" t="s">
        <v>22</v>
      </c>
      <c r="O77" t="s">
        <v>22</v>
      </c>
      <c r="P77" s="3">
        <f t="shared" si="17"/>
        <v>1</v>
      </c>
      <c r="Q77" t="str">
        <f t="shared" si="12"/>
        <v>NA</v>
      </c>
      <c r="R77">
        <f t="shared" si="13"/>
        <v>1</v>
      </c>
      <c r="S77" t="str">
        <f t="shared" si="14"/>
        <v>NA</v>
      </c>
      <c r="T77" t="str">
        <f t="shared" si="15"/>
        <v>NA</v>
      </c>
      <c r="U77">
        <f t="shared" si="16"/>
        <v>1</v>
      </c>
    </row>
    <row r="78" spans="1:47">
      <c r="A78">
        <v>361</v>
      </c>
      <c r="B78" s="1">
        <v>45229</v>
      </c>
      <c r="C78" t="s">
        <v>16</v>
      </c>
      <c r="D78" t="s">
        <v>17</v>
      </c>
      <c r="E78" t="s">
        <v>157</v>
      </c>
      <c r="F78" s="1">
        <v>45229</v>
      </c>
      <c r="G78" t="s">
        <v>16</v>
      </c>
      <c r="H78" t="s">
        <v>17</v>
      </c>
      <c r="I78" t="s">
        <v>157</v>
      </c>
      <c r="J78" t="s">
        <v>22</v>
      </c>
      <c r="K78">
        <v>5</v>
      </c>
      <c r="L78">
        <v>75</v>
      </c>
      <c r="M78">
        <v>20</v>
      </c>
      <c r="N78" t="s">
        <v>22</v>
      </c>
      <c r="O78" t="s">
        <v>22</v>
      </c>
      <c r="P78" s="3">
        <f t="shared" si="17"/>
        <v>3</v>
      </c>
      <c r="Q78" t="str">
        <f t="shared" si="12"/>
        <v>NA</v>
      </c>
      <c r="R78">
        <f t="shared" si="13"/>
        <v>1</v>
      </c>
      <c r="S78" t="str">
        <f t="shared" si="14"/>
        <v>NA</v>
      </c>
      <c r="T78" t="str">
        <f t="shared" si="15"/>
        <v>NA</v>
      </c>
      <c r="U78">
        <f t="shared" si="16"/>
        <v>1</v>
      </c>
    </row>
    <row r="79" spans="1:47">
      <c r="A79">
        <v>374</v>
      </c>
      <c r="B79" s="1">
        <v>45229</v>
      </c>
      <c r="C79" t="s">
        <v>45</v>
      </c>
      <c r="D79" t="s">
        <v>46</v>
      </c>
      <c r="E79" t="s">
        <v>160</v>
      </c>
      <c r="F79" s="1">
        <v>45229</v>
      </c>
      <c r="G79" t="s">
        <v>45</v>
      </c>
      <c r="H79" t="s">
        <v>46</v>
      </c>
      <c r="I79" t="s">
        <v>160</v>
      </c>
      <c r="J79" t="s">
        <v>22</v>
      </c>
      <c r="K79">
        <v>40</v>
      </c>
      <c r="L79">
        <v>10</v>
      </c>
      <c r="M79">
        <v>50</v>
      </c>
      <c r="N79" t="s">
        <v>22</v>
      </c>
      <c r="O79" t="s">
        <v>22</v>
      </c>
      <c r="P79" s="3">
        <f t="shared" si="17"/>
        <v>3</v>
      </c>
      <c r="Q79" t="str">
        <f t="shared" si="12"/>
        <v>NA</v>
      </c>
      <c r="R79">
        <f t="shared" si="13"/>
        <v>1</v>
      </c>
      <c r="S79" t="str">
        <f t="shared" si="14"/>
        <v>NA</v>
      </c>
      <c r="T79" t="str">
        <f t="shared" si="15"/>
        <v>NA</v>
      </c>
      <c r="U79">
        <f t="shared" si="16"/>
        <v>1</v>
      </c>
    </row>
    <row r="80" spans="1:47">
      <c r="A80">
        <v>381</v>
      </c>
      <c r="B80" s="1">
        <v>45229</v>
      </c>
      <c r="C80" t="s">
        <v>63</v>
      </c>
      <c r="D80" t="s">
        <v>64</v>
      </c>
      <c r="E80" t="s">
        <v>52</v>
      </c>
      <c r="F80" s="1">
        <v>45229</v>
      </c>
      <c r="G80" t="s">
        <v>63</v>
      </c>
      <c r="H80" t="s">
        <v>64</v>
      </c>
      <c r="I80" t="s">
        <v>52</v>
      </c>
      <c r="J80" t="s">
        <v>22</v>
      </c>
      <c r="K80" t="s">
        <v>22</v>
      </c>
      <c r="L80">
        <v>100</v>
      </c>
      <c r="M80" t="s">
        <v>22</v>
      </c>
      <c r="N80" t="s">
        <v>22</v>
      </c>
      <c r="O80" t="s">
        <v>22</v>
      </c>
      <c r="P80" s="3">
        <f t="shared" si="17"/>
        <v>1</v>
      </c>
      <c r="Q80" t="str">
        <f t="shared" si="12"/>
        <v>NA</v>
      </c>
      <c r="R80">
        <f t="shared" si="13"/>
        <v>1</v>
      </c>
      <c r="S80" t="str">
        <f t="shared" si="14"/>
        <v>NA</v>
      </c>
      <c r="T80" t="str">
        <f t="shared" si="15"/>
        <v>NA</v>
      </c>
      <c r="U80">
        <f t="shared" si="16"/>
        <v>1</v>
      </c>
    </row>
    <row r="81" spans="1:22">
      <c r="A81">
        <v>128</v>
      </c>
      <c r="B81" s="1">
        <v>45117</v>
      </c>
      <c r="C81" t="s">
        <v>31</v>
      </c>
      <c r="D81" t="s">
        <v>32</v>
      </c>
      <c r="E81" t="s">
        <v>98</v>
      </c>
      <c r="F81" s="1">
        <v>45117</v>
      </c>
      <c r="G81" t="s">
        <v>31</v>
      </c>
      <c r="H81" t="s">
        <v>32</v>
      </c>
      <c r="I81" t="s">
        <v>98</v>
      </c>
      <c r="J81" t="s">
        <v>22</v>
      </c>
      <c r="K81">
        <v>50</v>
      </c>
      <c r="L81" t="s">
        <v>22</v>
      </c>
      <c r="M81" t="s">
        <v>22</v>
      </c>
      <c r="N81">
        <v>50</v>
      </c>
      <c r="O81" t="s">
        <v>22</v>
      </c>
      <c r="P81" s="3">
        <f t="shared" si="17"/>
        <v>2</v>
      </c>
      <c r="Q81" t="str">
        <f t="shared" si="12"/>
        <v>NA</v>
      </c>
      <c r="R81" t="str">
        <f t="shared" si="13"/>
        <v>NA</v>
      </c>
      <c r="S81">
        <f t="shared" si="14"/>
        <v>1</v>
      </c>
      <c r="T81" t="str">
        <f t="shared" si="15"/>
        <v>NA</v>
      </c>
      <c r="U81">
        <f t="shared" si="16"/>
        <v>1</v>
      </c>
      <c r="V81" t="s">
        <v>173</v>
      </c>
    </row>
    <row r="82" spans="1:22">
      <c r="A82">
        <v>175</v>
      </c>
      <c r="B82" s="1">
        <v>45129</v>
      </c>
      <c r="C82" t="s">
        <v>70</v>
      </c>
      <c r="D82" t="s">
        <v>71</v>
      </c>
      <c r="E82" t="s">
        <v>110</v>
      </c>
      <c r="F82" s="1">
        <v>45129</v>
      </c>
      <c r="G82" t="s">
        <v>70</v>
      </c>
      <c r="H82" t="s">
        <v>71</v>
      </c>
      <c r="I82" t="s">
        <v>110</v>
      </c>
      <c r="J82" t="s">
        <v>22</v>
      </c>
      <c r="K82" t="s">
        <v>22</v>
      </c>
      <c r="L82" t="s">
        <v>22</v>
      </c>
      <c r="M82" t="s">
        <v>22</v>
      </c>
      <c r="N82">
        <v>100</v>
      </c>
      <c r="O82" t="s">
        <v>22</v>
      </c>
      <c r="P82" s="3">
        <f t="shared" si="17"/>
        <v>1</v>
      </c>
      <c r="Q82" t="str">
        <f t="shared" si="12"/>
        <v>NA</v>
      </c>
      <c r="R82" t="str">
        <f t="shared" si="13"/>
        <v>NA</v>
      </c>
      <c r="S82">
        <f t="shared" si="14"/>
        <v>1</v>
      </c>
      <c r="T82" t="str">
        <f t="shared" si="15"/>
        <v>NA</v>
      </c>
      <c r="U82">
        <f t="shared" si="16"/>
        <v>1</v>
      </c>
      <c r="V82" t="s">
        <v>173</v>
      </c>
    </row>
    <row r="83" spans="1:22">
      <c r="A83">
        <v>176</v>
      </c>
      <c r="B83" s="1">
        <v>45129</v>
      </c>
      <c r="C83" t="s">
        <v>72</v>
      </c>
      <c r="D83" t="s">
        <v>73</v>
      </c>
      <c r="E83" t="s">
        <v>110</v>
      </c>
      <c r="F83" s="1">
        <v>45129</v>
      </c>
      <c r="G83" t="s">
        <v>72</v>
      </c>
      <c r="H83" t="s">
        <v>73</v>
      </c>
      <c r="I83" t="s">
        <v>110</v>
      </c>
      <c r="J83" t="s">
        <v>22</v>
      </c>
      <c r="K83" t="s">
        <v>22</v>
      </c>
      <c r="L83" t="s">
        <v>22</v>
      </c>
      <c r="M83" t="s">
        <v>22</v>
      </c>
      <c r="N83">
        <v>100</v>
      </c>
      <c r="O83" t="s">
        <v>22</v>
      </c>
      <c r="P83" s="3">
        <f t="shared" si="17"/>
        <v>1</v>
      </c>
      <c r="Q83" t="str">
        <f t="shared" si="12"/>
        <v>NA</v>
      </c>
      <c r="R83" t="str">
        <f t="shared" si="13"/>
        <v>NA</v>
      </c>
      <c r="S83">
        <f t="shared" si="14"/>
        <v>1</v>
      </c>
      <c r="T83" t="str">
        <f t="shared" si="15"/>
        <v>NA</v>
      </c>
      <c r="U83">
        <f t="shared" si="16"/>
        <v>1</v>
      </c>
      <c r="V83" t="s">
        <v>173</v>
      </c>
    </row>
    <row r="84" spans="1:22">
      <c r="A84">
        <v>206</v>
      </c>
      <c r="B84" s="1">
        <v>45145</v>
      </c>
      <c r="C84" t="s">
        <v>72</v>
      </c>
      <c r="D84" t="s">
        <v>73</v>
      </c>
      <c r="E84" t="s">
        <v>110</v>
      </c>
      <c r="F84" s="1">
        <v>45145</v>
      </c>
      <c r="G84" t="s">
        <v>72</v>
      </c>
      <c r="H84" t="s">
        <v>73</v>
      </c>
      <c r="I84" t="s">
        <v>110</v>
      </c>
      <c r="J84" t="s">
        <v>22</v>
      </c>
      <c r="K84" t="s">
        <v>22</v>
      </c>
      <c r="L84" t="s">
        <v>22</v>
      </c>
      <c r="M84" t="s">
        <v>22</v>
      </c>
      <c r="N84">
        <v>100</v>
      </c>
      <c r="O84" t="s">
        <v>22</v>
      </c>
      <c r="P84" s="3">
        <f t="shared" si="17"/>
        <v>1</v>
      </c>
      <c r="Q84" t="str">
        <f t="shared" si="12"/>
        <v>NA</v>
      </c>
      <c r="R84" t="str">
        <f t="shared" si="13"/>
        <v>NA</v>
      </c>
      <c r="S84">
        <f t="shared" si="14"/>
        <v>1</v>
      </c>
      <c r="T84" t="str">
        <f t="shared" si="15"/>
        <v>NA</v>
      </c>
      <c r="U84">
        <f t="shared" si="16"/>
        <v>1</v>
      </c>
      <c r="V84" t="s">
        <v>173</v>
      </c>
    </row>
    <row r="85" spans="1:22">
      <c r="A85">
        <v>235</v>
      </c>
      <c r="B85" s="1">
        <v>45157</v>
      </c>
      <c r="C85" t="s">
        <v>70</v>
      </c>
      <c r="D85" t="s">
        <v>71</v>
      </c>
      <c r="E85" t="s">
        <v>98</v>
      </c>
      <c r="F85" s="1">
        <v>45157</v>
      </c>
      <c r="G85" t="s">
        <v>70</v>
      </c>
      <c r="H85" t="s">
        <v>71</v>
      </c>
      <c r="I85" t="s">
        <v>98</v>
      </c>
      <c r="J85" t="s">
        <v>22</v>
      </c>
      <c r="K85">
        <v>50</v>
      </c>
      <c r="L85" t="s">
        <v>22</v>
      </c>
      <c r="M85" t="s">
        <v>22</v>
      </c>
      <c r="N85">
        <v>50</v>
      </c>
      <c r="O85" t="s">
        <v>22</v>
      </c>
      <c r="P85" s="3">
        <f t="shared" si="17"/>
        <v>2</v>
      </c>
      <c r="Q85" t="str">
        <f t="shared" si="12"/>
        <v>NA</v>
      </c>
      <c r="R85" t="str">
        <f t="shared" si="13"/>
        <v>NA</v>
      </c>
      <c r="S85">
        <f t="shared" si="14"/>
        <v>1</v>
      </c>
      <c r="T85" t="str">
        <f t="shared" si="15"/>
        <v>NA</v>
      </c>
      <c r="U85">
        <f t="shared" si="16"/>
        <v>1</v>
      </c>
    </row>
    <row r="86" spans="1:22">
      <c r="A86">
        <v>236</v>
      </c>
      <c r="B86" s="1">
        <v>45157</v>
      </c>
      <c r="C86" t="s">
        <v>72</v>
      </c>
      <c r="D86" t="s">
        <v>73</v>
      </c>
      <c r="E86" t="s">
        <v>128</v>
      </c>
      <c r="F86" s="1">
        <v>45157</v>
      </c>
      <c r="G86" t="s">
        <v>72</v>
      </c>
      <c r="H86" t="s">
        <v>73</v>
      </c>
      <c r="I86" t="s">
        <v>128</v>
      </c>
      <c r="J86" t="s">
        <v>22</v>
      </c>
      <c r="K86">
        <v>95</v>
      </c>
      <c r="L86" t="s">
        <v>22</v>
      </c>
      <c r="M86" t="s">
        <v>22</v>
      </c>
      <c r="N86">
        <v>5</v>
      </c>
      <c r="O86" t="s">
        <v>22</v>
      </c>
      <c r="P86" s="3">
        <f t="shared" si="17"/>
        <v>2</v>
      </c>
      <c r="Q86" t="str">
        <f t="shared" si="12"/>
        <v>NA</v>
      </c>
      <c r="R86" t="str">
        <f t="shared" si="13"/>
        <v>NA</v>
      </c>
      <c r="S86">
        <f t="shared" si="14"/>
        <v>1</v>
      </c>
      <c r="T86" t="str">
        <f t="shared" si="15"/>
        <v>NA</v>
      </c>
      <c r="U86">
        <f t="shared" si="16"/>
        <v>1</v>
      </c>
    </row>
    <row r="87" spans="1:22">
      <c r="A87">
        <v>195</v>
      </c>
      <c r="B87" s="1">
        <v>45145</v>
      </c>
      <c r="C87" t="s">
        <v>45</v>
      </c>
      <c r="D87" t="s">
        <v>46</v>
      </c>
      <c r="E87" t="s">
        <v>117</v>
      </c>
      <c r="F87" s="1">
        <v>45145</v>
      </c>
      <c r="G87" t="s">
        <v>45</v>
      </c>
      <c r="H87" t="s">
        <v>46</v>
      </c>
      <c r="I87" t="s">
        <v>117</v>
      </c>
      <c r="J87" t="s">
        <v>22</v>
      </c>
      <c r="K87">
        <v>50</v>
      </c>
      <c r="L87" t="s">
        <v>22</v>
      </c>
      <c r="M87">
        <v>10</v>
      </c>
      <c r="N87" t="s">
        <v>22</v>
      </c>
      <c r="O87">
        <v>40</v>
      </c>
      <c r="P87" s="3">
        <f t="shared" si="17"/>
        <v>3</v>
      </c>
      <c r="Q87" t="str">
        <f t="shared" si="12"/>
        <v>NA</v>
      </c>
      <c r="R87" t="str">
        <f t="shared" si="13"/>
        <v>NA</v>
      </c>
      <c r="S87" t="str">
        <f t="shared" si="14"/>
        <v>NA</v>
      </c>
      <c r="T87">
        <f t="shared" si="15"/>
        <v>1</v>
      </c>
      <c r="U87">
        <f t="shared" si="16"/>
        <v>1</v>
      </c>
      <c r="V87" t="s">
        <v>173</v>
      </c>
    </row>
    <row r="88" spans="1:22">
      <c r="A88">
        <v>224</v>
      </c>
      <c r="B88" s="1">
        <v>45157</v>
      </c>
      <c r="C88" t="s">
        <v>43</v>
      </c>
      <c r="D88" t="s">
        <v>44</v>
      </c>
      <c r="E88" t="s">
        <v>123</v>
      </c>
      <c r="F88" s="1">
        <v>45157</v>
      </c>
      <c r="G88" t="s">
        <v>43</v>
      </c>
      <c r="H88" t="s">
        <v>44</v>
      </c>
      <c r="I88" t="s">
        <v>123</v>
      </c>
      <c r="J88" t="s">
        <v>22</v>
      </c>
      <c r="K88">
        <v>95</v>
      </c>
      <c r="L88" t="s">
        <v>22</v>
      </c>
      <c r="M88" t="s">
        <v>22</v>
      </c>
      <c r="N88" t="s">
        <v>22</v>
      </c>
      <c r="O88">
        <v>5</v>
      </c>
      <c r="P88" s="3">
        <f t="shared" si="17"/>
        <v>2</v>
      </c>
      <c r="Q88" t="str">
        <f t="shared" si="12"/>
        <v>NA</v>
      </c>
      <c r="R88" t="str">
        <f t="shared" si="13"/>
        <v>NA</v>
      </c>
      <c r="S88" t="str">
        <f t="shared" si="14"/>
        <v>NA</v>
      </c>
      <c r="T88">
        <f t="shared" si="15"/>
        <v>1</v>
      </c>
      <c r="U88">
        <f t="shared" si="16"/>
        <v>1</v>
      </c>
    </row>
    <row r="89" spans="1:22">
      <c r="A89">
        <v>254</v>
      </c>
      <c r="B89" s="1">
        <v>45174</v>
      </c>
      <c r="C89" t="s">
        <v>43</v>
      </c>
      <c r="D89" t="s">
        <v>44</v>
      </c>
      <c r="E89" t="s">
        <v>123</v>
      </c>
      <c r="F89" s="1">
        <v>45174</v>
      </c>
      <c r="G89" t="s">
        <v>43</v>
      </c>
      <c r="H89" t="s">
        <v>44</v>
      </c>
      <c r="I89" t="s">
        <v>123</v>
      </c>
      <c r="J89" t="s">
        <v>22</v>
      </c>
      <c r="K89">
        <v>95</v>
      </c>
      <c r="L89" t="s">
        <v>22</v>
      </c>
      <c r="M89" t="s">
        <v>22</v>
      </c>
      <c r="N89" t="s">
        <v>22</v>
      </c>
      <c r="O89">
        <v>5</v>
      </c>
      <c r="P89" s="3">
        <f t="shared" si="17"/>
        <v>2</v>
      </c>
      <c r="Q89" t="str">
        <f t="shared" si="12"/>
        <v>NA</v>
      </c>
      <c r="R89" t="str">
        <f t="shared" si="13"/>
        <v>NA</v>
      </c>
      <c r="S89" t="str">
        <f t="shared" si="14"/>
        <v>NA</v>
      </c>
      <c r="T89">
        <f t="shared" si="15"/>
        <v>1</v>
      </c>
      <c r="U89">
        <f t="shared" si="16"/>
        <v>1</v>
      </c>
    </row>
    <row r="90" spans="1:22">
      <c r="A90">
        <v>255</v>
      </c>
      <c r="B90" s="1">
        <v>45174</v>
      </c>
      <c r="C90" t="s">
        <v>45</v>
      </c>
      <c r="D90" t="s">
        <v>46</v>
      </c>
      <c r="E90" t="s">
        <v>133</v>
      </c>
      <c r="F90" s="1">
        <v>45174</v>
      </c>
      <c r="G90" t="s">
        <v>45</v>
      </c>
      <c r="H90" t="s">
        <v>46</v>
      </c>
      <c r="I90" t="s">
        <v>133</v>
      </c>
      <c r="J90" t="s">
        <v>22</v>
      </c>
      <c r="K90">
        <v>30</v>
      </c>
      <c r="L90" t="s">
        <v>22</v>
      </c>
      <c r="M90">
        <v>50</v>
      </c>
      <c r="N90" t="s">
        <v>22</v>
      </c>
      <c r="O90">
        <v>20</v>
      </c>
      <c r="P90" s="3">
        <f t="shared" si="17"/>
        <v>3</v>
      </c>
      <c r="Q90" t="str">
        <f t="shared" si="12"/>
        <v>NA</v>
      </c>
      <c r="R90" t="str">
        <f t="shared" si="13"/>
        <v>NA</v>
      </c>
      <c r="S90" t="str">
        <f t="shared" si="14"/>
        <v>NA</v>
      </c>
      <c r="T90">
        <f t="shared" si="15"/>
        <v>1</v>
      </c>
      <c r="U90">
        <f t="shared" si="16"/>
        <v>1</v>
      </c>
      <c r="V90" t="s">
        <v>173</v>
      </c>
    </row>
    <row r="91" spans="1:22">
      <c r="A91">
        <v>284</v>
      </c>
      <c r="B91" s="1">
        <v>45185</v>
      </c>
      <c r="C91" t="s">
        <v>43</v>
      </c>
      <c r="D91" t="s">
        <v>44</v>
      </c>
      <c r="E91" t="s">
        <v>123</v>
      </c>
      <c r="F91" s="1">
        <v>45185</v>
      </c>
      <c r="G91" t="s">
        <v>43</v>
      </c>
      <c r="H91" t="s">
        <v>44</v>
      </c>
      <c r="I91" t="s">
        <v>123</v>
      </c>
      <c r="J91" t="s">
        <v>22</v>
      </c>
      <c r="K91">
        <v>95</v>
      </c>
      <c r="L91" t="s">
        <v>22</v>
      </c>
      <c r="M91" t="s">
        <v>22</v>
      </c>
      <c r="N91" t="s">
        <v>22</v>
      </c>
      <c r="O91">
        <v>5</v>
      </c>
      <c r="P91" s="3">
        <f t="shared" si="17"/>
        <v>2</v>
      </c>
      <c r="Q91" t="str">
        <f t="shared" si="12"/>
        <v>NA</v>
      </c>
      <c r="R91" t="str">
        <f t="shared" si="13"/>
        <v>NA</v>
      </c>
      <c r="S91" t="str">
        <f t="shared" si="14"/>
        <v>NA</v>
      </c>
      <c r="T91">
        <f t="shared" si="15"/>
        <v>1</v>
      </c>
      <c r="U91">
        <f t="shared" si="16"/>
        <v>1</v>
      </c>
    </row>
    <row r="92" spans="1:22">
      <c r="A92">
        <v>289</v>
      </c>
      <c r="B92" s="1">
        <v>45185</v>
      </c>
      <c r="C92" t="s">
        <v>56</v>
      </c>
      <c r="D92" t="s">
        <v>57</v>
      </c>
      <c r="E92" t="s">
        <v>139</v>
      </c>
      <c r="F92" s="1">
        <v>45185</v>
      </c>
      <c r="G92" t="s">
        <v>56</v>
      </c>
      <c r="H92" t="s">
        <v>57</v>
      </c>
      <c r="I92" t="s">
        <v>139</v>
      </c>
      <c r="J92" t="s">
        <v>22</v>
      </c>
      <c r="K92">
        <v>50</v>
      </c>
      <c r="L92" t="s">
        <v>22</v>
      </c>
      <c r="M92" t="s">
        <v>22</v>
      </c>
      <c r="N92" t="s">
        <v>22</v>
      </c>
      <c r="O92">
        <v>50</v>
      </c>
      <c r="P92" s="3">
        <f t="shared" si="17"/>
        <v>2</v>
      </c>
      <c r="Q92" t="str">
        <f t="shared" si="12"/>
        <v>NA</v>
      </c>
      <c r="R92" t="str">
        <f t="shared" si="13"/>
        <v>NA</v>
      </c>
      <c r="S92" t="str">
        <f t="shared" si="14"/>
        <v>NA</v>
      </c>
      <c r="T92">
        <f t="shared" si="15"/>
        <v>1</v>
      </c>
      <c r="U92">
        <f t="shared" si="16"/>
        <v>1</v>
      </c>
      <c r="V92" t="s">
        <v>173</v>
      </c>
    </row>
    <row r="93" spans="1:22">
      <c r="A93">
        <v>314</v>
      </c>
      <c r="B93" s="1">
        <v>45201</v>
      </c>
      <c r="C93" t="s">
        <v>43</v>
      </c>
      <c r="D93" t="s">
        <v>44</v>
      </c>
      <c r="E93" t="s">
        <v>148</v>
      </c>
      <c r="F93" s="1">
        <v>45201</v>
      </c>
      <c r="G93" t="s">
        <v>43</v>
      </c>
      <c r="H93" t="s">
        <v>44</v>
      </c>
      <c r="I93" t="s">
        <v>148</v>
      </c>
      <c r="J93" t="s">
        <v>22</v>
      </c>
      <c r="K93">
        <v>90</v>
      </c>
      <c r="L93" t="s">
        <v>22</v>
      </c>
      <c r="M93" t="s">
        <v>22</v>
      </c>
      <c r="N93" t="s">
        <v>22</v>
      </c>
      <c r="O93">
        <v>10</v>
      </c>
      <c r="P93" s="3">
        <f t="shared" si="17"/>
        <v>2</v>
      </c>
      <c r="Q93" t="str">
        <f t="shared" si="12"/>
        <v>NA</v>
      </c>
      <c r="R93" t="str">
        <f t="shared" si="13"/>
        <v>NA</v>
      </c>
      <c r="S93" t="str">
        <f t="shared" si="14"/>
        <v>NA</v>
      </c>
      <c r="T93">
        <f t="shared" si="15"/>
        <v>1</v>
      </c>
      <c r="U93">
        <f t="shared" si="16"/>
        <v>1</v>
      </c>
    </row>
    <row r="94" spans="1:22">
      <c r="A94">
        <v>315</v>
      </c>
      <c r="B94" s="1">
        <v>45201</v>
      </c>
      <c r="C94" t="s">
        <v>45</v>
      </c>
      <c r="D94" t="s">
        <v>46</v>
      </c>
      <c r="E94" t="s">
        <v>149</v>
      </c>
      <c r="F94" s="1">
        <v>45201</v>
      </c>
      <c r="G94" t="s">
        <v>45</v>
      </c>
      <c r="H94" t="s">
        <v>46</v>
      </c>
      <c r="I94" t="s">
        <v>149</v>
      </c>
      <c r="J94" t="s">
        <v>22</v>
      </c>
      <c r="K94">
        <v>20</v>
      </c>
      <c r="L94" t="s">
        <v>22</v>
      </c>
      <c r="M94">
        <v>75</v>
      </c>
      <c r="N94" t="s">
        <v>22</v>
      </c>
      <c r="O94">
        <v>5</v>
      </c>
      <c r="P94" s="3">
        <f t="shared" si="17"/>
        <v>3</v>
      </c>
      <c r="Q94" t="str">
        <f t="shared" si="12"/>
        <v>NA</v>
      </c>
      <c r="R94" t="str">
        <f t="shared" si="13"/>
        <v>NA</v>
      </c>
      <c r="S94" t="str">
        <f t="shared" si="14"/>
        <v>NA</v>
      </c>
      <c r="T94">
        <f t="shared" si="15"/>
        <v>1</v>
      </c>
      <c r="U94">
        <f t="shared" si="16"/>
        <v>1</v>
      </c>
      <c r="V94" t="s">
        <v>173</v>
      </c>
    </row>
    <row r="95" spans="1:22">
      <c r="A95">
        <v>334</v>
      </c>
      <c r="B95" s="1">
        <v>45213</v>
      </c>
      <c r="C95" t="s">
        <v>23</v>
      </c>
      <c r="D95" t="s">
        <v>24</v>
      </c>
      <c r="E95" t="s">
        <v>117</v>
      </c>
      <c r="F95" s="1">
        <v>45213</v>
      </c>
      <c r="G95" t="s">
        <v>23</v>
      </c>
      <c r="H95" t="s">
        <v>24</v>
      </c>
      <c r="I95" t="s">
        <v>117</v>
      </c>
      <c r="J95" t="s">
        <v>22</v>
      </c>
      <c r="K95">
        <v>50</v>
      </c>
      <c r="L95" t="s">
        <v>22</v>
      </c>
      <c r="M95">
        <v>10</v>
      </c>
      <c r="N95" t="s">
        <v>22</v>
      </c>
      <c r="O95">
        <v>40</v>
      </c>
      <c r="P95" s="3">
        <f t="shared" si="17"/>
        <v>3</v>
      </c>
      <c r="Q95" t="str">
        <f t="shared" si="12"/>
        <v>NA</v>
      </c>
      <c r="R95" t="str">
        <f t="shared" si="13"/>
        <v>NA</v>
      </c>
      <c r="S95" t="str">
        <f t="shared" si="14"/>
        <v>NA</v>
      </c>
      <c r="T95">
        <f t="shared" si="15"/>
        <v>1</v>
      </c>
      <c r="U95">
        <f t="shared" si="16"/>
        <v>1</v>
      </c>
      <c r="V95" t="s">
        <v>173</v>
      </c>
    </row>
    <row r="96" spans="1:22">
      <c r="A96">
        <v>363</v>
      </c>
      <c r="B96" s="1">
        <v>45229</v>
      </c>
      <c r="C96" t="s">
        <v>23</v>
      </c>
      <c r="D96" t="s">
        <v>24</v>
      </c>
      <c r="E96" t="s">
        <v>158</v>
      </c>
      <c r="F96" s="1">
        <v>45229</v>
      </c>
      <c r="G96" t="s">
        <v>23</v>
      </c>
      <c r="H96" t="s">
        <v>24</v>
      </c>
      <c r="I96" t="s">
        <v>158</v>
      </c>
      <c r="J96" t="s">
        <v>22</v>
      </c>
      <c r="K96">
        <v>75</v>
      </c>
      <c r="L96" t="s">
        <v>22</v>
      </c>
      <c r="M96" t="s">
        <v>22</v>
      </c>
      <c r="N96" t="s">
        <v>22</v>
      </c>
      <c r="O96">
        <v>25</v>
      </c>
      <c r="P96" s="3">
        <f t="shared" si="17"/>
        <v>2</v>
      </c>
      <c r="Q96" t="str">
        <f t="shared" si="12"/>
        <v>NA</v>
      </c>
      <c r="R96" t="str">
        <f t="shared" si="13"/>
        <v>NA</v>
      </c>
      <c r="S96" t="str">
        <f t="shared" si="14"/>
        <v>NA</v>
      </c>
      <c r="T96">
        <f t="shared" si="15"/>
        <v>1</v>
      </c>
      <c r="U96">
        <f t="shared" si="16"/>
        <v>1</v>
      </c>
    </row>
    <row r="97" spans="1:21">
      <c r="A97">
        <v>1</v>
      </c>
      <c r="B97" s="1">
        <v>45045</v>
      </c>
      <c r="C97" t="s">
        <v>13</v>
      </c>
      <c r="D97" t="s">
        <v>14</v>
      </c>
      <c r="E97" t="s">
        <v>15</v>
      </c>
      <c r="F97" s="1">
        <v>45045</v>
      </c>
      <c r="G97" t="s">
        <v>13</v>
      </c>
      <c r="H97" t="s">
        <v>14</v>
      </c>
      <c r="I97" t="s">
        <v>15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s="3">
        <f t="shared" si="17"/>
        <v>0</v>
      </c>
      <c r="Q97" t="str">
        <f t="shared" si="12"/>
        <v>NA</v>
      </c>
      <c r="R97" t="str">
        <f t="shared" si="13"/>
        <v>NA</v>
      </c>
      <c r="S97" t="str">
        <f t="shared" si="14"/>
        <v>NA</v>
      </c>
      <c r="T97" t="str">
        <f t="shared" si="15"/>
        <v>NA</v>
      </c>
      <c r="U97">
        <f t="shared" si="16"/>
        <v>0</v>
      </c>
    </row>
    <row r="98" spans="1:21">
      <c r="A98">
        <v>3</v>
      </c>
      <c r="B98" s="1">
        <v>45045</v>
      </c>
      <c r="C98" t="s">
        <v>20</v>
      </c>
      <c r="D98" t="s">
        <v>21</v>
      </c>
      <c r="E98" t="s">
        <v>22</v>
      </c>
      <c r="F98" s="1">
        <v>45045</v>
      </c>
      <c r="G98" t="s">
        <v>20</v>
      </c>
      <c r="H98" t="s">
        <v>21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s="3">
        <f t="shared" si="17"/>
        <v>0</v>
      </c>
      <c r="Q98" t="str">
        <f t="shared" si="12"/>
        <v>NA</v>
      </c>
      <c r="R98" t="str">
        <f t="shared" si="13"/>
        <v>NA</v>
      </c>
      <c r="S98" t="str">
        <f t="shared" si="14"/>
        <v>NA</v>
      </c>
      <c r="T98" t="str">
        <f t="shared" si="15"/>
        <v>NA</v>
      </c>
      <c r="U98">
        <f t="shared" si="16"/>
        <v>0</v>
      </c>
    </row>
    <row r="99" spans="1:21">
      <c r="A99">
        <v>4</v>
      </c>
      <c r="B99" s="1">
        <v>45045</v>
      </c>
      <c r="C99" t="s">
        <v>23</v>
      </c>
      <c r="D99" t="s">
        <v>24</v>
      </c>
      <c r="E99" t="s">
        <v>15</v>
      </c>
      <c r="F99" s="1">
        <v>45045</v>
      </c>
      <c r="G99" t="s">
        <v>23</v>
      </c>
      <c r="H99" t="s">
        <v>24</v>
      </c>
      <c r="I99" t="s">
        <v>15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s="3">
        <f t="shared" si="17"/>
        <v>0</v>
      </c>
      <c r="Q99" t="str">
        <f t="shared" si="12"/>
        <v>NA</v>
      </c>
      <c r="R99" t="str">
        <f t="shared" si="13"/>
        <v>NA</v>
      </c>
      <c r="S99" t="str">
        <f t="shared" si="14"/>
        <v>NA</v>
      </c>
      <c r="T99" t="str">
        <f t="shared" si="15"/>
        <v>NA</v>
      </c>
      <c r="U99">
        <f t="shared" si="16"/>
        <v>0</v>
      </c>
    </row>
    <row r="100" spans="1:21">
      <c r="A100">
        <v>5</v>
      </c>
      <c r="B100" s="1">
        <v>45045</v>
      </c>
      <c r="C100" t="s">
        <v>25</v>
      </c>
      <c r="D100" t="s">
        <v>26</v>
      </c>
      <c r="E100" t="s">
        <v>15</v>
      </c>
      <c r="F100" s="1">
        <v>45045</v>
      </c>
      <c r="G100" t="s">
        <v>25</v>
      </c>
      <c r="H100" t="s">
        <v>26</v>
      </c>
      <c r="I100" t="s">
        <v>15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s="3">
        <f t="shared" si="17"/>
        <v>0</v>
      </c>
      <c r="Q100" t="str">
        <f t="shared" si="12"/>
        <v>NA</v>
      </c>
      <c r="R100" t="str">
        <f t="shared" si="13"/>
        <v>NA</v>
      </c>
      <c r="S100" t="str">
        <f t="shared" si="14"/>
        <v>NA</v>
      </c>
      <c r="T100" t="str">
        <f t="shared" si="15"/>
        <v>NA</v>
      </c>
      <c r="U100">
        <f t="shared" si="16"/>
        <v>0</v>
      </c>
    </row>
    <row r="101" spans="1:21">
      <c r="A101">
        <v>6</v>
      </c>
      <c r="B101" s="1">
        <v>45045</v>
      </c>
      <c r="C101" t="s">
        <v>27</v>
      </c>
      <c r="D101" t="s">
        <v>28</v>
      </c>
      <c r="E101" t="s">
        <v>15</v>
      </c>
      <c r="F101" s="1">
        <v>45045</v>
      </c>
      <c r="G101" t="s">
        <v>27</v>
      </c>
      <c r="H101" t="s">
        <v>28</v>
      </c>
      <c r="I101" t="s">
        <v>15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s="3">
        <f t="shared" si="17"/>
        <v>0</v>
      </c>
      <c r="Q101" t="str">
        <f t="shared" si="12"/>
        <v>NA</v>
      </c>
      <c r="R101" t="str">
        <f t="shared" si="13"/>
        <v>NA</v>
      </c>
      <c r="S101" t="str">
        <f t="shared" si="14"/>
        <v>NA</v>
      </c>
      <c r="T101" t="str">
        <f t="shared" si="15"/>
        <v>NA</v>
      </c>
      <c r="U101">
        <f t="shared" si="16"/>
        <v>0</v>
      </c>
    </row>
    <row r="102" spans="1:21">
      <c r="A102">
        <v>7</v>
      </c>
      <c r="B102" s="1">
        <v>45045</v>
      </c>
      <c r="C102" t="s">
        <v>29</v>
      </c>
      <c r="D102" t="s">
        <v>30</v>
      </c>
      <c r="E102">
        <v>0</v>
      </c>
      <c r="F102" s="1">
        <v>45045</v>
      </c>
      <c r="G102" t="s">
        <v>29</v>
      </c>
      <c r="H102" t="s">
        <v>30</v>
      </c>
      <c r="I102">
        <v>0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s="3">
        <f t="shared" si="17"/>
        <v>0</v>
      </c>
      <c r="Q102" t="str">
        <f t="shared" si="12"/>
        <v>NA</v>
      </c>
      <c r="R102" t="str">
        <f t="shared" si="13"/>
        <v>NA</v>
      </c>
      <c r="S102" t="str">
        <f t="shared" si="14"/>
        <v>NA</v>
      </c>
      <c r="T102" t="str">
        <f t="shared" si="15"/>
        <v>NA</v>
      </c>
      <c r="U102">
        <f t="shared" si="16"/>
        <v>0</v>
      </c>
    </row>
    <row r="103" spans="1:21">
      <c r="A103">
        <v>8</v>
      </c>
      <c r="B103" s="1">
        <v>45045</v>
      </c>
      <c r="C103" t="s">
        <v>31</v>
      </c>
      <c r="D103" t="s">
        <v>32</v>
      </c>
      <c r="E103" t="s">
        <v>22</v>
      </c>
      <c r="F103" s="1">
        <v>45045</v>
      </c>
      <c r="G103" t="s">
        <v>31</v>
      </c>
      <c r="H103" t="s">
        <v>32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s="3">
        <f t="shared" si="17"/>
        <v>0</v>
      </c>
      <c r="Q103" t="str">
        <f t="shared" si="12"/>
        <v>NA</v>
      </c>
      <c r="R103" t="str">
        <f t="shared" si="13"/>
        <v>NA</v>
      </c>
      <c r="S103" t="str">
        <f t="shared" si="14"/>
        <v>NA</v>
      </c>
      <c r="T103" t="str">
        <f t="shared" si="15"/>
        <v>NA</v>
      </c>
      <c r="U103">
        <f t="shared" si="16"/>
        <v>0</v>
      </c>
    </row>
    <row r="104" spans="1:21">
      <c r="A104">
        <v>9</v>
      </c>
      <c r="B104" s="1">
        <v>45045</v>
      </c>
      <c r="C104" t="s">
        <v>33</v>
      </c>
      <c r="D104" t="s">
        <v>34</v>
      </c>
      <c r="E104" t="s">
        <v>22</v>
      </c>
      <c r="F104" s="1">
        <v>45045</v>
      </c>
      <c r="G104" t="s">
        <v>33</v>
      </c>
      <c r="H104" t="s">
        <v>34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s="3">
        <f t="shared" si="17"/>
        <v>0</v>
      </c>
      <c r="Q104" t="str">
        <f t="shared" si="12"/>
        <v>NA</v>
      </c>
      <c r="R104" t="str">
        <f t="shared" si="13"/>
        <v>NA</v>
      </c>
      <c r="S104" t="str">
        <f t="shared" si="14"/>
        <v>NA</v>
      </c>
      <c r="T104" t="str">
        <f t="shared" si="15"/>
        <v>NA</v>
      </c>
      <c r="U104">
        <f t="shared" si="16"/>
        <v>0</v>
      </c>
    </row>
    <row r="105" spans="1:21">
      <c r="A105">
        <v>10</v>
      </c>
      <c r="B105" s="1">
        <v>45045</v>
      </c>
      <c r="C105" t="s">
        <v>35</v>
      </c>
      <c r="D105" t="s">
        <v>36</v>
      </c>
      <c r="E105" t="s">
        <v>22</v>
      </c>
      <c r="F105" s="1">
        <v>45045</v>
      </c>
      <c r="G105" t="s">
        <v>35</v>
      </c>
      <c r="H105" t="s">
        <v>36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s="3">
        <f t="shared" si="17"/>
        <v>0</v>
      </c>
      <c r="Q105" t="str">
        <f t="shared" si="12"/>
        <v>NA</v>
      </c>
      <c r="R105" t="str">
        <f t="shared" si="13"/>
        <v>NA</v>
      </c>
      <c r="S105" t="str">
        <f t="shared" si="14"/>
        <v>NA</v>
      </c>
      <c r="T105" t="str">
        <f t="shared" si="15"/>
        <v>NA</v>
      </c>
      <c r="U105">
        <f t="shared" si="16"/>
        <v>0</v>
      </c>
    </row>
    <row r="106" spans="1:21">
      <c r="A106">
        <v>11</v>
      </c>
      <c r="B106" s="1">
        <v>45045</v>
      </c>
      <c r="C106" t="s">
        <v>37</v>
      </c>
      <c r="D106" t="s">
        <v>38</v>
      </c>
      <c r="E106" t="s">
        <v>22</v>
      </c>
      <c r="F106" s="1">
        <v>45045</v>
      </c>
      <c r="G106" t="s">
        <v>37</v>
      </c>
      <c r="H106" t="s">
        <v>38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s="3">
        <f t="shared" si="17"/>
        <v>0</v>
      </c>
      <c r="Q106" t="str">
        <f t="shared" si="12"/>
        <v>NA</v>
      </c>
      <c r="R106" t="str">
        <f t="shared" si="13"/>
        <v>NA</v>
      </c>
      <c r="S106" t="str">
        <f t="shared" si="14"/>
        <v>NA</v>
      </c>
      <c r="T106" t="str">
        <f t="shared" si="15"/>
        <v>NA</v>
      </c>
      <c r="U106">
        <f t="shared" si="16"/>
        <v>0</v>
      </c>
    </row>
    <row r="107" spans="1:21">
      <c r="A107">
        <v>12</v>
      </c>
      <c r="B107" s="1">
        <v>45045</v>
      </c>
      <c r="C107" t="s">
        <v>39</v>
      </c>
      <c r="D107" t="s">
        <v>40</v>
      </c>
      <c r="E107" t="s">
        <v>15</v>
      </c>
      <c r="F107" s="1">
        <v>45045</v>
      </c>
      <c r="G107" t="s">
        <v>39</v>
      </c>
      <c r="H107" t="s">
        <v>40</v>
      </c>
      <c r="I107" t="s">
        <v>15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s="3">
        <f t="shared" si="17"/>
        <v>0</v>
      </c>
      <c r="Q107" t="str">
        <f t="shared" si="12"/>
        <v>NA</v>
      </c>
      <c r="R107" t="str">
        <f t="shared" si="13"/>
        <v>NA</v>
      </c>
      <c r="S107" t="str">
        <f t="shared" si="14"/>
        <v>NA</v>
      </c>
      <c r="T107" t="str">
        <f t="shared" si="15"/>
        <v>NA</v>
      </c>
      <c r="U107">
        <f t="shared" si="16"/>
        <v>0</v>
      </c>
    </row>
    <row r="108" spans="1:21">
      <c r="A108">
        <v>13</v>
      </c>
      <c r="B108" s="1">
        <v>45045</v>
      </c>
      <c r="C108" t="s">
        <v>41</v>
      </c>
      <c r="D108" t="s">
        <v>42</v>
      </c>
      <c r="E108" t="s">
        <v>22</v>
      </c>
      <c r="F108" s="1">
        <v>45045</v>
      </c>
      <c r="G108" t="s">
        <v>41</v>
      </c>
      <c r="H108" t="s">
        <v>42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s="3">
        <f t="shared" si="17"/>
        <v>0</v>
      </c>
      <c r="Q108" t="str">
        <f t="shared" si="12"/>
        <v>NA</v>
      </c>
      <c r="R108" t="str">
        <f t="shared" si="13"/>
        <v>NA</v>
      </c>
      <c r="S108" t="str">
        <f t="shared" si="14"/>
        <v>NA</v>
      </c>
      <c r="T108" t="str">
        <f t="shared" si="15"/>
        <v>NA</v>
      </c>
      <c r="U108">
        <f t="shared" si="16"/>
        <v>0</v>
      </c>
    </row>
    <row r="109" spans="1:21">
      <c r="A109">
        <v>14</v>
      </c>
      <c r="B109" s="1">
        <v>45045</v>
      </c>
      <c r="C109" t="s">
        <v>43</v>
      </c>
      <c r="D109" t="s">
        <v>44</v>
      </c>
      <c r="E109" t="s">
        <v>15</v>
      </c>
      <c r="F109" s="1">
        <v>45045</v>
      </c>
      <c r="G109" t="s">
        <v>43</v>
      </c>
      <c r="H109" t="s">
        <v>44</v>
      </c>
      <c r="I109" t="s">
        <v>15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s="3">
        <f t="shared" si="17"/>
        <v>0</v>
      </c>
      <c r="Q109" t="str">
        <f t="shared" si="12"/>
        <v>NA</v>
      </c>
      <c r="R109" t="str">
        <f t="shared" si="13"/>
        <v>NA</v>
      </c>
      <c r="S109" t="str">
        <f t="shared" si="14"/>
        <v>NA</v>
      </c>
      <c r="T109" t="str">
        <f t="shared" si="15"/>
        <v>NA</v>
      </c>
      <c r="U109">
        <f t="shared" si="16"/>
        <v>0</v>
      </c>
    </row>
    <row r="110" spans="1:21">
      <c r="A110">
        <v>16</v>
      </c>
      <c r="B110" s="1">
        <v>45045</v>
      </c>
      <c r="C110" t="s">
        <v>48</v>
      </c>
      <c r="D110" t="s">
        <v>49</v>
      </c>
      <c r="E110" t="s">
        <v>15</v>
      </c>
      <c r="F110" s="1">
        <v>45045</v>
      </c>
      <c r="G110" t="s">
        <v>48</v>
      </c>
      <c r="H110" t="s">
        <v>49</v>
      </c>
      <c r="I110" t="s">
        <v>15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s="3">
        <f t="shared" si="17"/>
        <v>0</v>
      </c>
      <c r="Q110" t="str">
        <f t="shared" si="12"/>
        <v>NA</v>
      </c>
      <c r="R110" t="str">
        <f t="shared" si="13"/>
        <v>NA</v>
      </c>
      <c r="S110" t="str">
        <f t="shared" si="14"/>
        <v>NA</v>
      </c>
      <c r="T110" t="str">
        <f t="shared" si="15"/>
        <v>NA</v>
      </c>
      <c r="U110">
        <f t="shared" si="16"/>
        <v>0</v>
      </c>
    </row>
    <row r="111" spans="1:21">
      <c r="A111">
        <v>19</v>
      </c>
      <c r="B111" s="1">
        <v>45045</v>
      </c>
      <c r="C111" t="s">
        <v>56</v>
      </c>
      <c r="D111" t="s">
        <v>57</v>
      </c>
      <c r="E111" t="s">
        <v>58</v>
      </c>
      <c r="F111" s="1">
        <v>45045</v>
      </c>
      <c r="G111" t="s">
        <v>56</v>
      </c>
      <c r="H111" t="s">
        <v>57</v>
      </c>
      <c r="I111" t="s">
        <v>58</v>
      </c>
      <c r="J111" t="s">
        <v>22</v>
      </c>
      <c r="K111" t="s">
        <v>22</v>
      </c>
      <c r="L111" t="s">
        <v>22</v>
      </c>
      <c r="M111">
        <v>100</v>
      </c>
      <c r="N111" t="s">
        <v>22</v>
      </c>
      <c r="O111" t="s">
        <v>22</v>
      </c>
      <c r="P111" s="3">
        <f t="shared" si="17"/>
        <v>1</v>
      </c>
      <c r="Q111" t="str">
        <f t="shared" si="12"/>
        <v>NA</v>
      </c>
      <c r="R111" t="str">
        <f t="shared" si="13"/>
        <v>NA</v>
      </c>
      <c r="S111" t="str">
        <f t="shared" si="14"/>
        <v>NA</v>
      </c>
      <c r="T111" t="str">
        <f t="shared" si="15"/>
        <v>NA</v>
      </c>
      <c r="U111">
        <f t="shared" si="16"/>
        <v>0</v>
      </c>
    </row>
    <row r="112" spans="1:21">
      <c r="A112">
        <v>20</v>
      </c>
      <c r="B112" s="1">
        <v>45045</v>
      </c>
      <c r="C112" t="s">
        <v>59</v>
      </c>
      <c r="D112" t="s">
        <v>60</v>
      </c>
      <c r="E112" t="s">
        <v>15</v>
      </c>
      <c r="F112" s="1">
        <v>45045</v>
      </c>
      <c r="G112" t="s">
        <v>59</v>
      </c>
      <c r="H112" t="s">
        <v>60</v>
      </c>
      <c r="I112" t="s">
        <v>15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s="3">
        <f t="shared" si="17"/>
        <v>0</v>
      </c>
      <c r="Q112" t="str">
        <f t="shared" si="12"/>
        <v>NA</v>
      </c>
      <c r="R112" t="str">
        <f t="shared" si="13"/>
        <v>NA</v>
      </c>
      <c r="S112" t="str">
        <f t="shared" si="14"/>
        <v>NA</v>
      </c>
      <c r="T112" t="str">
        <f t="shared" si="15"/>
        <v>NA</v>
      </c>
      <c r="U112">
        <f t="shared" si="16"/>
        <v>0</v>
      </c>
    </row>
    <row r="113" spans="1:21">
      <c r="A113">
        <v>21</v>
      </c>
      <c r="B113" s="1">
        <v>45045</v>
      </c>
      <c r="C113" t="s">
        <v>61</v>
      </c>
      <c r="D113" t="s">
        <v>62</v>
      </c>
      <c r="E113" t="s">
        <v>15</v>
      </c>
      <c r="F113" s="1">
        <v>45045</v>
      </c>
      <c r="G113" t="s">
        <v>61</v>
      </c>
      <c r="H113" t="s">
        <v>62</v>
      </c>
      <c r="I113" t="s">
        <v>15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s="3">
        <f t="shared" si="17"/>
        <v>0</v>
      </c>
      <c r="Q113" t="str">
        <f t="shared" si="12"/>
        <v>NA</v>
      </c>
      <c r="R113" t="str">
        <f t="shared" si="13"/>
        <v>NA</v>
      </c>
      <c r="S113" t="str">
        <f t="shared" si="14"/>
        <v>NA</v>
      </c>
      <c r="T113" t="str">
        <f t="shared" si="15"/>
        <v>NA</v>
      </c>
      <c r="U113">
        <f t="shared" si="16"/>
        <v>0</v>
      </c>
    </row>
    <row r="114" spans="1:21">
      <c r="A114">
        <v>22</v>
      </c>
      <c r="B114" s="1">
        <v>45045</v>
      </c>
      <c r="C114" t="s">
        <v>63</v>
      </c>
      <c r="D114" t="s">
        <v>64</v>
      </c>
      <c r="E114" t="s">
        <v>65</v>
      </c>
      <c r="F114" s="1">
        <v>45045</v>
      </c>
      <c r="G114" t="s">
        <v>63</v>
      </c>
      <c r="H114" t="s">
        <v>64</v>
      </c>
      <c r="I114" t="s">
        <v>65</v>
      </c>
      <c r="J114" t="s">
        <v>22</v>
      </c>
      <c r="K114">
        <v>100</v>
      </c>
      <c r="L114" t="s">
        <v>22</v>
      </c>
      <c r="M114" t="s">
        <v>22</v>
      </c>
      <c r="N114" t="s">
        <v>22</v>
      </c>
      <c r="O114" t="s">
        <v>22</v>
      </c>
      <c r="P114" s="3">
        <f t="shared" si="17"/>
        <v>1</v>
      </c>
      <c r="Q114" t="str">
        <f t="shared" si="12"/>
        <v>NA</v>
      </c>
      <c r="R114" t="str">
        <f t="shared" si="13"/>
        <v>NA</v>
      </c>
      <c r="S114" t="str">
        <f t="shared" si="14"/>
        <v>NA</v>
      </c>
      <c r="T114" t="str">
        <f t="shared" si="15"/>
        <v>NA</v>
      </c>
      <c r="U114">
        <f t="shared" si="16"/>
        <v>0</v>
      </c>
    </row>
    <row r="115" spans="1:21">
      <c r="A115">
        <v>23</v>
      </c>
      <c r="B115" s="1">
        <v>45045</v>
      </c>
      <c r="C115" t="s">
        <v>66</v>
      </c>
      <c r="D115" t="s">
        <v>67</v>
      </c>
      <c r="E115" t="s">
        <v>15</v>
      </c>
      <c r="F115" s="1">
        <v>45045</v>
      </c>
      <c r="G115" t="s">
        <v>66</v>
      </c>
      <c r="H115" t="s">
        <v>67</v>
      </c>
      <c r="I115" t="s">
        <v>15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s="3">
        <f t="shared" si="17"/>
        <v>0</v>
      </c>
      <c r="Q115" t="str">
        <f t="shared" si="12"/>
        <v>NA</v>
      </c>
      <c r="R115" t="str">
        <f t="shared" si="13"/>
        <v>NA</v>
      </c>
      <c r="S115" t="str">
        <f t="shared" si="14"/>
        <v>NA</v>
      </c>
      <c r="T115" t="str">
        <f t="shared" si="15"/>
        <v>NA</v>
      </c>
      <c r="U115">
        <f t="shared" si="16"/>
        <v>0</v>
      </c>
    </row>
    <row r="116" spans="1:21">
      <c r="A116">
        <v>24</v>
      </c>
      <c r="B116" s="1">
        <v>45045</v>
      </c>
      <c r="C116" t="s">
        <v>68</v>
      </c>
      <c r="D116" t="s">
        <v>69</v>
      </c>
      <c r="E116" t="s">
        <v>15</v>
      </c>
      <c r="F116" s="1">
        <v>45045</v>
      </c>
      <c r="G116" t="s">
        <v>68</v>
      </c>
      <c r="H116" t="s">
        <v>69</v>
      </c>
      <c r="I116" t="s">
        <v>15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s="3">
        <f t="shared" si="17"/>
        <v>0</v>
      </c>
      <c r="Q116" t="str">
        <f t="shared" si="12"/>
        <v>NA</v>
      </c>
      <c r="R116" t="str">
        <f t="shared" si="13"/>
        <v>NA</v>
      </c>
      <c r="S116" t="str">
        <f t="shared" si="14"/>
        <v>NA</v>
      </c>
      <c r="T116" t="str">
        <f t="shared" si="15"/>
        <v>NA</v>
      </c>
      <c r="U116">
        <f t="shared" si="16"/>
        <v>0</v>
      </c>
    </row>
    <row r="117" spans="1:21">
      <c r="A117">
        <v>25</v>
      </c>
      <c r="B117" s="1">
        <v>45045</v>
      </c>
      <c r="C117" t="s">
        <v>70</v>
      </c>
      <c r="D117" t="s">
        <v>71</v>
      </c>
      <c r="E117" t="s">
        <v>15</v>
      </c>
      <c r="F117" s="1">
        <v>45045</v>
      </c>
      <c r="G117" t="s">
        <v>70</v>
      </c>
      <c r="H117" t="s">
        <v>71</v>
      </c>
      <c r="I117" t="s">
        <v>15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s="3">
        <f t="shared" si="17"/>
        <v>0</v>
      </c>
      <c r="Q117" t="str">
        <f t="shared" si="12"/>
        <v>NA</v>
      </c>
      <c r="R117" t="str">
        <f t="shared" si="13"/>
        <v>NA</v>
      </c>
      <c r="S117" t="str">
        <f t="shared" si="14"/>
        <v>NA</v>
      </c>
      <c r="T117" t="str">
        <f t="shared" si="15"/>
        <v>NA</v>
      </c>
      <c r="U117">
        <f t="shared" si="16"/>
        <v>0</v>
      </c>
    </row>
    <row r="118" spans="1:21">
      <c r="A118">
        <v>28</v>
      </c>
      <c r="B118" s="1">
        <v>45045</v>
      </c>
      <c r="C118" t="s">
        <v>77</v>
      </c>
      <c r="D118" t="s">
        <v>78</v>
      </c>
      <c r="E118" t="s">
        <v>22</v>
      </c>
      <c r="F118" s="1">
        <v>45045</v>
      </c>
      <c r="G118" t="s">
        <v>77</v>
      </c>
      <c r="H118" t="s">
        <v>78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s="3">
        <f t="shared" si="17"/>
        <v>0</v>
      </c>
      <c r="Q118" t="str">
        <f t="shared" si="12"/>
        <v>NA</v>
      </c>
      <c r="R118" t="str">
        <f t="shared" si="13"/>
        <v>NA</v>
      </c>
      <c r="S118" t="str">
        <f t="shared" si="14"/>
        <v>NA</v>
      </c>
      <c r="T118" t="str">
        <f t="shared" si="15"/>
        <v>NA</v>
      </c>
      <c r="U118">
        <f t="shared" si="16"/>
        <v>0</v>
      </c>
    </row>
    <row r="119" spans="1:21">
      <c r="A119">
        <v>29</v>
      </c>
      <c r="B119" s="1">
        <v>45045</v>
      </c>
      <c r="C119" t="s">
        <v>79</v>
      </c>
      <c r="D119" t="s">
        <v>80</v>
      </c>
      <c r="E119" t="s">
        <v>15</v>
      </c>
      <c r="F119" s="1">
        <v>45045</v>
      </c>
      <c r="G119" t="s">
        <v>79</v>
      </c>
      <c r="H119" t="s">
        <v>80</v>
      </c>
      <c r="I119" t="s">
        <v>15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s="3">
        <f t="shared" si="17"/>
        <v>0</v>
      </c>
      <c r="Q119" t="str">
        <f t="shared" si="12"/>
        <v>NA</v>
      </c>
      <c r="R119" t="str">
        <f t="shared" si="13"/>
        <v>NA</v>
      </c>
      <c r="S119" t="str">
        <f t="shared" si="14"/>
        <v>NA</v>
      </c>
      <c r="T119" t="str">
        <f t="shared" si="15"/>
        <v>NA</v>
      </c>
      <c r="U119">
        <f t="shared" si="16"/>
        <v>0</v>
      </c>
    </row>
    <row r="120" spans="1:21">
      <c r="A120">
        <v>30</v>
      </c>
      <c r="B120" s="1">
        <v>45045</v>
      </c>
      <c r="C120" t="s">
        <v>81</v>
      </c>
      <c r="D120" t="s">
        <v>82</v>
      </c>
      <c r="E120" t="s">
        <v>22</v>
      </c>
      <c r="F120" s="1">
        <v>45045</v>
      </c>
      <c r="G120" t="s">
        <v>81</v>
      </c>
      <c r="H120" t="s">
        <v>82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s="3">
        <f t="shared" si="17"/>
        <v>0</v>
      </c>
      <c r="Q120" t="str">
        <f t="shared" si="12"/>
        <v>NA</v>
      </c>
      <c r="R120" t="str">
        <f t="shared" si="13"/>
        <v>NA</v>
      </c>
      <c r="S120" t="str">
        <f t="shared" si="14"/>
        <v>NA</v>
      </c>
      <c r="T120" t="str">
        <f t="shared" si="15"/>
        <v>NA</v>
      </c>
      <c r="U120">
        <f t="shared" si="16"/>
        <v>0</v>
      </c>
    </row>
    <row r="121" spans="1:21">
      <c r="A121">
        <v>31</v>
      </c>
      <c r="B121" s="1">
        <v>45061</v>
      </c>
      <c r="C121" t="s">
        <v>13</v>
      </c>
      <c r="D121" t="s">
        <v>14</v>
      </c>
      <c r="E121" t="s">
        <v>15</v>
      </c>
      <c r="F121" s="1">
        <v>45061</v>
      </c>
      <c r="G121" t="s">
        <v>13</v>
      </c>
      <c r="H121" t="s">
        <v>14</v>
      </c>
      <c r="I121" t="s">
        <v>15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s="3">
        <f t="shared" si="17"/>
        <v>0</v>
      </c>
      <c r="Q121" t="str">
        <f t="shared" si="12"/>
        <v>NA</v>
      </c>
      <c r="R121" t="str">
        <f t="shared" si="13"/>
        <v>NA</v>
      </c>
      <c r="S121" t="str">
        <f t="shared" si="14"/>
        <v>NA</v>
      </c>
      <c r="T121" t="str">
        <f t="shared" si="15"/>
        <v>NA</v>
      </c>
      <c r="U121">
        <f t="shared" si="16"/>
        <v>0</v>
      </c>
    </row>
    <row r="122" spans="1:21">
      <c r="A122">
        <v>32</v>
      </c>
      <c r="B122" s="1">
        <v>45061</v>
      </c>
      <c r="C122" t="s">
        <v>16</v>
      </c>
      <c r="D122" t="s">
        <v>17</v>
      </c>
      <c r="E122" t="s">
        <v>15</v>
      </c>
      <c r="F122" s="1">
        <v>45061</v>
      </c>
      <c r="G122" t="s">
        <v>16</v>
      </c>
      <c r="H122" t="s">
        <v>17</v>
      </c>
      <c r="I122" t="s">
        <v>15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s="3">
        <f t="shared" si="17"/>
        <v>0</v>
      </c>
      <c r="Q122" t="str">
        <f t="shared" si="12"/>
        <v>NA</v>
      </c>
      <c r="R122" t="str">
        <f t="shared" si="13"/>
        <v>NA</v>
      </c>
      <c r="S122" t="str">
        <f t="shared" si="14"/>
        <v>NA</v>
      </c>
      <c r="T122" t="str">
        <f t="shared" si="15"/>
        <v>NA</v>
      </c>
      <c r="U122">
        <f t="shared" si="16"/>
        <v>0</v>
      </c>
    </row>
    <row r="123" spans="1:21">
      <c r="A123">
        <v>33</v>
      </c>
      <c r="B123" s="1">
        <v>45061</v>
      </c>
      <c r="C123" t="s">
        <v>20</v>
      </c>
      <c r="D123" t="s">
        <v>21</v>
      </c>
      <c r="E123" t="s">
        <v>22</v>
      </c>
      <c r="F123" s="1">
        <v>45061</v>
      </c>
      <c r="G123" t="s">
        <v>20</v>
      </c>
      <c r="H123" t="s">
        <v>21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s="3">
        <f t="shared" si="17"/>
        <v>0</v>
      </c>
      <c r="Q123" t="str">
        <f t="shared" si="12"/>
        <v>NA</v>
      </c>
      <c r="R123" t="str">
        <f t="shared" si="13"/>
        <v>NA</v>
      </c>
      <c r="S123" t="str">
        <f t="shared" si="14"/>
        <v>NA</v>
      </c>
      <c r="T123" t="str">
        <f t="shared" si="15"/>
        <v>NA</v>
      </c>
      <c r="U123">
        <f t="shared" si="16"/>
        <v>0</v>
      </c>
    </row>
    <row r="124" spans="1:21">
      <c r="A124">
        <v>34</v>
      </c>
      <c r="B124" s="1">
        <v>45061</v>
      </c>
      <c r="C124" t="s">
        <v>23</v>
      </c>
      <c r="D124" t="s">
        <v>24</v>
      </c>
      <c r="E124" t="s">
        <v>65</v>
      </c>
      <c r="F124" s="1">
        <v>45061</v>
      </c>
      <c r="G124" t="s">
        <v>23</v>
      </c>
      <c r="H124" t="s">
        <v>24</v>
      </c>
      <c r="I124" t="s">
        <v>65</v>
      </c>
      <c r="J124" t="s">
        <v>22</v>
      </c>
      <c r="K124">
        <v>100</v>
      </c>
      <c r="L124" t="s">
        <v>22</v>
      </c>
      <c r="M124" t="s">
        <v>22</v>
      </c>
      <c r="N124" t="s">
        <v>22</v>
      </c>
      <c r="O124" t="s">
        <v>22</v>
      </c>
      <c r="P124" s="3">
        <f t="shared" si="17"/>
        <v>1</v>
      </c>
      <c r="Q124" t="str">
        <f t="shared" si="12"/>
        <v>NA</v>
      </c>
      <c r="R124" t="str">
        <f t="shared" si="13"/>
        <v>NA</v>
      </c>
      <c r="S124" t="str">
        <f t="shared" si="14"/>
        <v>NA</v>
      </c>
      <c r="T124" t="str">
        <f t="shared" si="15"/>
        <v>NA</v>
      </c>
      <c r="U124">
        <f t="shared" si="16"/>
        <v>0</v>
      </c>
    </row>
    <row r="125" spans="1:21">
      <c r="A125">
        <v>35</v>
      </c>
      <c r="B125" s="1">
        <v>45061</v>
      </c>
      <c r="C125" t="s">
        <v>25</v>
      </c>
      <c r="D125" t="s">
        <v>26</v>
      </c>
      <c r="E125" t="s">
        <v>15</v>
      </c>
      <c r="F125" s="1">
        <v>45061</v>
      </c>
      <c r="G125" t="s">
        <v>25</v>
      </c>
      <c r="H125" t="s">
        <v>26</v>
      </c>
      <c r="I125" t="s">
        <v>15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s="3">
        <f t="shared" si="17"/>
        <v>0</v>
      </c>
      <c r="Q125" t="str">
        <f t="shared" si="12"/>
        <v>NA</v>
      </c>
      <c r="R125" t="str">
        <f t="shared" si="13"/>
        <v>NA</v>
      </c>
      <c r="S125" t="str">
        <f t="shared" si="14"/>
        <v>NA</v>
      </c>
      <c r="T125" t="str">
        <f t="shared" si="15"/>
        <v>NA</v>
      </c>
      <c r="U125">
        <f t="shared" si="16"/>
        <v>0</v>
      </c>
    </row>
    <row r="126" spans="1:21">
      <c r="A126">
        <v>36</v>
      </c>
      <c r="B126" s="1">
        <v>45061</v>
      </c>
      <c r="C126" t="s">
        <v>27</v>
      </c>
      <c r="D126" t="s">
        <v>28</v>
      </c>
      <c r="E126" t="s">
        <v>15</v>
      </c>
      <c r="F126" s="1">
        <v>45061</v>
      </c>
      <c r="G126" t="s">
        <v>27</v>
      </c>
      <c r="H126" t="s">
        <v>28</v>
      </c>
      <c r="I126" t="s">
        <v>15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s="3">
        <f t="shared" si="17"/>
        <v>0</v>
      </c>
      <c r="Q126" t="str">
        <f t="shared" si="12"/>
        <v>NA</v>
      </c>
      <c r="R126" t="str">
        <f t="shared" si="13"/>
        <v>NA</v>
      </c>
      <c r="S126" t="str">
        <f t="shared" si="14"/>
        <v>NA</v>
      </c>
      <c r="T126" t="str">
        <f t="shared" si="15"/>
        <v>NA</v>
      </c>
      <c r="U126">
        <f t="shared" si="16"/>
        <v>0</v>
      </c>
    </row>
    <row r="127" spans="1:21">
      <c r="A127">
        <v>38</v>
      </c>
      <c r="B127" s="1">
        <v>45061</v>
      </c>
      <c r="C127" t="s">
        <v>31</v>
      </c>
      <c r="D127" t="s">
        <v>32</v>
      </c>
      <c r="E127" t="s">
        <v>22</v>
      </c>
      <c r="F127" s="1">
        <v>45061</v>
      </c>
      <c r="G127" t="s">
        <v>31</v>
      </c>
      <c r="H127" t="s">
        <v>32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s="3">
        <f t="shared" si="17"/>
        <v>0</v>
      </c>
      <c r="Q127" t="str">
        <f t="shared" si="12"/>
        <v>NA</v>
      </c>
      <c r="R127" t="str">
        <f t="shared" si="13"/>
        <v>NA</v>
      </c>
      <c r="S127" t="str">
        <f t="shared" si="14"/>
        <v>NA</v>
      </c>
      <c r="T127" t="str">
        <f t="shared" si="15"/>
        <v>NA</v>
      </c>
      <c r="U127">
        <f t="shared" si="16"/>
        <v>0</v>
      </c>
    </row>
    <row r="128" spans="1:21">
      <c r="A128">
        <v>39</v>
      </c>
      <c r="B128" s="1">
        <v>45061</v>
      </c>
      <c r="C128" t="s">
        <v>33</v>
      </c>
      <c r="D128" t="s">
        <v>34</v>
      </c>
      <c r="E128" t="s">
        <v>15</v>
      </c>
      <c r="F128" s="1">
        <v>45061</v>
      </c>
      <c r="G128" t="s">
        <v>33</v>
      </c>
      <c r="H128" t="s">
        <v>34</v>
      </c>
      <c r="I128" t="s">
        <v>15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s="3">
        <f t="shared" si="17"/>
        <v>0</v>
      </c>
      <c r="Q128" t="str">
        <f t="shared" si="12"/>
        <v>NA</v>
      </c>
      <c r="R128" t="str">
        <f t="shared" si="13"/>
        <v>NA</v>
      </c>
      <c r="S128" t="str">
        <f t="shared" si="14"/>
        <v>NA</v>
      </c>
      <c r="T128" t="str">
        <f t="shared" si="15"/>
        <v>NA</v>
      </c>
      <c r="U128">
        <f t="shared" si="16"/>
        <v>0</v>
      </c>
    </row>
    <row r="129" spans="1:21">
      <c r="A129">
        <v>40</v>
      </c>
      <c r="B129" s="1">
        <v>45061</v>
      </c>
      <c r="C129" t="s">
        <v>35</v>
      </c>
      <c r="D129" t="s">
        <v>36</v>
      </c>
      <c r="E129" t="s">
        <v>15</v>
      </c>
      <c r="F129" s="1">
        <v>45061</v>
      </c>
      <c r="G129" t="s">
        <v>35</v>
      </c>
      <c r="H129" t="s">
        <v>36</v>
      </c>
      <c r="I129" t="s">
        <v>15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s="3">
        <f t="shared" si="17"/>
        <v>0</v>
      </c>
      <c r="Q129" t="str">
        <f t="shared" si="12"/>
        <v>NA</v>
      </c>
      <c r="R129" t="str">
        <f t="shared" si="13"/>
        <v>NA</v>
      </c>
      <c r="S129" t="str">
        <f t="shared" si="14"/>
        <v>NA</v>
      </c>
      <c r="T129" t="str">
        <f t="shared" si="15"/>
        <v>NA</v>
      </c>
      <c r="U129">
        <f t="shared" si="16"/>
        <v>0</v>
      </c>
    </row>
    <row r="130" spans="1:21">
      <c r="A130">
        <v>41</v>
      </c>
      <c r="B130" s="1">
        <v>45061</v>
      </c>
      <c r="C130" t="s">
        <v>37</v>
      </c>
      <c r="D130" t="s">
        <v>38</v>
      </c>
      <c r="E130" t="s">
        <v>85</v>
      </c>
      <c r="F130" s="1">
        <v>45061</v>
      </c>
      <c r="G130" t="s">
        <v>37</v>
      </c>
      <c r="H130" t="s">
        <v>38</v>
      </c>
      <c r="I130" t="s">
        <v>85</v>
      </c>
      <c r="J130" t="s">
        <v>22</v>
      </c>
      <c r="K130">
        <v>80</v>
      </c>
      <c r="L130" t="s">
        <v>22</v>
      </c>
      <c r="M130">
        <v>20</v>
      </c>
      <c r="N130" t="s">
        <v>22</v>
      </c>
      <c r="O130" t="s">
        <v>22</v>
      </c>
      <c r="P130" s="3">
        <f t="shared" si="17"/>
        <v>2</v>
      </c>
      <c r="Q130" t="str">
        <f t="shared" si="12"/>
        <v>NA</v>
      </c>
      <c r="R130" t="str">
        <f t="shared" si="13"/>
        <v>NA</v>
      </c>
      <c r="S130" t="str">
        <f t="shared" si="14"/>
        <v>NA</v>
      </c>
      <c r="T130" t="str">
        <f t="shared" si="15"/>
        <v>NA</v>
      </c>
      <c r="U130">
        <f t="shared" si="16"/>
        <v>0</v>
      </c>
    </row>
    <row r="131" spans="1:21">
      <c r="A131">
        <v>42</v>
      </c>
      <c r="B131" s="1">
        <v>45061</v>
      </c>
      <c r="C131" t="s">
        <v>39</v>
      </c>
      <c r="D131" t="s">
        <v>40</v>
      </c>
      <c r="E131" t="s">
        <v>22</v>
      </c>
      <c r="F131" s="1">
        <v>45061</v>
      </c>
      <c r="G131" t="s">
        <v>39</v>
      </c>
      <c r="H131" t="s">
        <v>40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s="3">
        <f t="shared" si="17"/>
        <v>0</v>
      </c>
      <c r="Q131" t="str">
        <f t="shared" si="12"/>
        <v>NA</v>
      </c>
      <c r="R131" t="str">
        <f t="shared" si="13"/>
        <v>NA</v>
      </c>
      <c r="S131" t="str">
        <f t="shared" si="14"/>
        <v>NA</v>
      </c>
      <c r="T131" t="str">
        <f t="shared" si="15"/>
        <v>NA</v>
      </c>
      <c r="U131">
        <f t="shared" si="16"/>
        <v>0</v>
      </c>
    </row>
    <row r="132" spans="1:21">
      <c r="A132">
        <v>43</v>
      </c>
      <c r="B132" s="1">
        <v>45061</v>
      </c>
      <c r="C132" t="s">
        <v>41</v>
      </c>
      <c r="D132" t="s">
        <v>42</v>
      </c>
      <c r="E132" t="s">
        <v>22</v>
      </c>
      <c r="F132" s="1">
        <v>45061</v>
      </c>
      <c r="G132" t="s">
        <v>41</v>
      </c>
      <c r="H132" t="s">
        <v>42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s="3">
        <f t="shared" si="17"/>
        <v>0</v>
      </c>
      <c r="Q132" t="str">
        <f t="shared" ref="Q132:Q195" si="18">IF(NOT(J132="NA"),1,"NA")</f>
        <v>NA</v>
      </c>
      <c r="R132" t="str">
        <f t="shared" ref="R132:R195" si="19">IF(NOT(L132="NA"),1,"NA")</f>
        <v>NA</v>
      </c>
      <c r="S132" t="str">
        <f t="shared" ref="S132:S195" si="20">IF(NOT(N132="NA"),1,"NA")</f>
        <v>NA</v>
      </c>
      <c r="T132" t="str">
        <f t="shared" ref="T132:T195" si="21">IF(NOT(O132="NA"),1,"NA")</f>
        <v>NA</v>
      </c>
      <c r="U132">
        <f t="shared" ref="U132:U195" si="22">SUM(Q132:T132)</f>
        <v>0</v>
      </c>
    </row>
    <row r="133" spans="1:21">
      <c r="A133">
        <v>44</v>
      </c>
      <c r="B133" s="1">
        <v>45061</v>
      </c>
      <c r="C133" t="s">
        <v>43</v>
      </c>
      <c r="D133" t="s">
        <v>44</v>
      </c>
      <c r="E133" t="s">
        <v>15</v>
      </c>
      <c r="F133" s="1">
        <v>45061</v>
      </c>
      <c r="G133" t="s">
        <v>43</v>
      </c>
      <c r="H133" t="s">
        <v>44</v>
      </c>
      <c r="I133" t="s">
        <v>15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s="3">
        <f t="shared" ref="P133:P196" si="23">COUNTA(J133:O133)-COUNTIF(J133:O133,"NA")</f>
        <v>0</v>
      </c>
      <c r="Q133" t="str">
        <f t="shared" si="18"/>
        <v>NA</v>
      </c>
      <c r="R133" t="str">
        <f t="shared" si="19"/>
        <v>NA</v>
      </c>
      <c r="S133" t="str">
        <f t="shared" si="20"/>
        <v>NA</v>
      </c>
      <c r="T133" t="str">
        <f t="shared" si="21"/>
        <v>NA</v>
      </c>
      <c r="U133">
        <f t="shared" si="22"/>
        <v>0</v>
      </c>
    </row>
    <row r="134" spans="1:21">
      <c r="A134">
        <v>45</v>
      </c>
      <c r="B134" s="1">
        <v>45061</v>
      </c>
      <c r="C134" t="s">
        <v>45</v>
      </c>
      <c r="D134" t="s">
        <v>46</v>
      </c>
      <c r="E134" t="s">
        <v>58</v>
      </c>
      <c r="F134" s="1">
        <v>45061</v>
      </c>
      <c r="G134" t="s">
        <v>45</v>
      </c>
      <c r="H134" t="s">
        <v>46</v>
      </c>
      <c r="I134" t="s">
        <v>58</v>
      </c>
      <c r="J134" t="s">
        <v>22</v>
      </c>
      <c r="K134" t="s">
        <v>22</v>
      </c>
      <c r="L134" t="s">
        <v>22</v>
      </c>
      <c r="M134">
        <v>100</v>
      </c>
      <c r="N134" t="s">
        <v>22</v>
      </c>
      <c r="O134" t="s">
        <v>22</v>
      </c>
      <c r="P134" s="3">
        <f t="shared" si="23"/>
        <v>1</v>
      </c>
      <c r="Q134" t="str">
        <f t="shared" si="18"/>
        <v>NA</v>
      </c>
      <c r="R134" t="str">
        <f t="shared" si="19"/>
        <v>NA</v>
      </c>
      <c r="S134" t="str">
        <f t="shared" si="20"/>
        <v>NA</v>
      </c>
      <c r="T134" t="str">
        <f t="shared" si="21"/>
        <v>NA</v>
      </c>
      <c r="U134">
        <f t="shared" si="22"/>
        <v>0</v>
      </c>
    </row>
    <row r="135" spans="1:21">
      <c r="A135">
        <v>46</v>
      </c>
      <c r="B135" s="1">
        <v>45061</v>
      </c>
      <c r="C135" t="s">
        <v>48</v>
      </c>
      <c r="D135" t="s">
        <v>49</v>
      </c>
      <c r="E135" t="s">
        <v>15</v>
      </c>
      <c r="F135" s="1">
        <v>45061</v>
      </c>
      <c r="G135" t="s">
        <v>48</v>
      </c>
      <c r="H135" t="s">
        <v>49</v>
      </c>
      <c r="I135" t="s">
        <v>15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s="3">
        <f t="shared" si="23"/>
        <v>0</v>
      </c>
      <c r="Q135" t="str">
        <f t="shared" si="18"/>
        <v>NA</v>
      </c>
      <c r="R135" t="str">
        <f t="shared" si="19"/>
        <v>NA</v>
      </c>
      <c r="S135" t="str">
        <f t="shared" si="20"/>
        <v>NA</v>
      </c>
      <c r="T135" t="str">
        <f t="shared" si="21"/>
        <v>NA</v>
      </c>
      <c r="U135">
        <f t="shared" si="22"/>
        <v>0</v>
      </c>
    </row>
    <row r="136" spans="1:21">
      <c r="A136">
        <v>47</v>
      </c>
      <c r="B136" s="1">
        <v>45061</v>
      </c>
      <c r="C136" t="s">
        <v>50</v>
      </c>
      <c r="D136" t="s">
        <v>51</v>
      </c>
      <c r="E136" t="s">
        <v>15</v>
      </c>
      <c r="F136" s="1">
        <v>45061</v>
      </c>
      <c r="G136" t="s">
        <v>50</v>
      </c>
      <c r="H136" t="s">
        <v>51</v>
      </c>
      <c r="I136" t="s">
        <v>15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s="3">
        <f t="shared" si="23"/>
        <v>0</v>
      </c>
      <c r="Q136" t="str">
        <f t="shared" si="18"/>
        <v>NA</v>
      </c>
      <c r="R136" t="str">
        <f t="shared" si="19"/>
        <v>NA</v>
      </c>
      <c r="S136" t="str">
        <f t="shared" si="20"/>
        <v>NA</v>
      </c>
      <c r="T136" t="str">
        <f t="shared" si="21"/>
        <v>NA</v>
      </c>
      <c r="U136">
        <f t="shared" si="22"/>
        <v>0</v>
      </c>
    </row>
    <row r="137" spans="1:21">
      <c r="A137">
        <v>48</v>
      </c>
      <c r="B137" s="1">
        <v>45061</v>
      </c>
      <c r="C137" t="s">
        <v>53</v>
      </c>
      <c r="D137" t="s">
        <v>54</v>
      </c>
      <c r="E137" t="s">
        <v>15</v>
      </c>
      <c r="F137" s="1">
        <v>45061</v>
      </c>
      <c r="G137" t="s">
        <v>53</v>
      </c>
      <c r="H137" t="s">
        <v>54</v>
      </c>
      <c r="I137" t="s">
        <v>15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s="3">
        <f t="shared" si="23"/>
        <v>0</v>
      </c>
      <c r="Q137" t="str">
        <f t="shared" si="18"/>
        <v>NA</v>
      </c>
      <c r="R137" t="str">
        <f t="shared" si="19"/>
        <v>NA</v>
      </c>
      <c r="S137" t="str">
        <f t="shared" si="20"/>
        <v>NA</v>
      </c>
      <c r="T137" t="str">
        <f t="shared" si="21"/>
        <v>NA</v>
      </c>
      <c r="U137">
        <f t="shared" si="22"/>
        <v>0</v>
      </c>
    </row>
    <row r="138" spans="1:21">
      <c r="A138">
        <v>49</v>
      </c>
      <c r="B138" s="1">
        <v>45061</v>
      </c>
      <c r="C138" t="s">
        <v>56</v>
      </c>
      <c r="D138" t="s">
        <v>57</v>
      </c>
      <c r="E138" t="s">
        <v>65</v>
      </c>
      <c r="F138" s="1">
        <v>45061</v>
      </c>
      <c r="G138" t="s">
        <v>56</v>
      </c>
      <c r="H138" t="s">
        <v>57</v>
      </c>
      <c r="I138" t="s">
        <v>65</v>
      </c>
      <c r="J138" t="s">
        <v>22</v>
      </c>
      <c r="K138">
        <v>100</v>
      </c>
      <c r="L138" t="s">
        <v>22</v>
      </c>
      <c r="M138" t="s">
        <v>22</v>
      </c>
      <c r="N138" t="s">
        <v>22</v>
      </c>
      <c r="O138" t="s">
        <v>22</v>
      </c>
      <c r="P138" s="3">
        <f t="shared" si="23"/>
        <v>1</v>
      </c>
      <c r="Q138" t="str">
        <f t="shared" si="18"/>
        <v>NA</v>
      </c>
      <c r="R138" t="str">
        <f t="shared" si="19"/>
        <v>NA</v>
      </c>
      <c r="S138" t="str">
        <f t="shared" si="20"/>
        <v>NA</v>
      </c>
      <c r="T138" t="str">
        <f t="shared" si="21"/>
        <v>NA</v>
      </c>
      <c r="U138">
        <f t="shared" si="22"/>
        <v>0</v>
      </c>
    </row>
    <row r="139" spans="1:21">
      <c r="A139">
        <v>51</v>
      </c>
      <c r="B139" s="1">
        <v>45061</v>
      </c>
      <c r="C139" t="s">
        <v>61</v>
      </c>
      <c r="D139" t="s">
        <v>62</v>
      </c>
      <c r="E139" t="s">
        <v>15</v>
      </c>
      <c r="F139" s="1">
        <v>45061</v>
      </c>
      <c r="G139" t="s">
        <v>61</v>
      </c>
      <c r="H139" t="s">
        <v>62</v>
      </c>
      <c r="I139" t="s">
        <v>15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s="3">
        <f t="shared" si="23"/>
        <v>0</v>
      </c>
      <c r="Q139" t="str">
        <f t="shared" si="18"/>
        <v>NA</v>
      </c>
      <c r="R139" t="str">
        <f t="shared" si="19"/>
        <v>NA</v>
      </c>
      <c r="S139" t="str">
        <f t="shared" si="20"/>
        <v>NA</v>
      </c>
      <c r="T139" t="str">
        <f t="shared" si="21"/>
        <v>NA</v>
      </c>
      <c r="U139">
        <f t="shared" si="22"/>
        <v>0</v>
      </c>
    </row>
    <row r="140" spans="1:21">
      <c r="A140">
        <v>53</v>
      </c>
      <c r="B140" s="1">
        <v>45061</v>
      </c>
      <c r="C140" t="s">
        <v>66</v>
      </c>
      <c r="D140" t="s">
        <v>67</v>
      </c>
      <c r="E140" t="s">
        <v>65</v>
      </c>
      <c r="F140" s="1">
        <v>45061</v>
      </c>
      <c r="G140" t="s">
        <v>66</v>
      </c>
      <c r="H140" t="s">
        <v>67</v>
      </c>
      <c r="I140" t="s">
        <v>65</v>
      </c>
      <c r="J140" t="s">
        <v>22</v>
      </c>
      <c r="K140">
        <v>100</v>
      </c>
      <c r="L140" t="s">
        <v>22</v>
      </c>
      <c r="M140" t="s">
        <v>22</v>
      </c>
      <c r="N140" t="s">
        <v>22</v>
      </c>
      <c r="O140" t="s">
        <v>22</v>
      </c>
      <c r="P140" s="3">
        <f t="shared" si="23"/>
        <v>1</v>
      </c>
      <c r="Q140" t="str">
        <f t="shared" si="18"/>
        <v>NA</v>
      </c>
      <c r="R140" t="str">
        <f t="shared" si="19"/>
        <v>NA</v>
      </c>
      <c r="S140" t="str">
        <f t="shared" si="20"/>
        <v>NA</v>
      </c>
      <c r="T140" t="str">
        <f t="shared" si="21"/>
        <v>NA</v>
      </c>
      <c r="U140">
        <f t="shared" si="22"/>
        <v>0</v>
      </c>
    </row>
    <row r="141" spans="1:21">
      <c r="A141">
        <v>54</v>
      </c>
      <c r="B141" s="1">
        <v>45061</v>
      </c>
      <c r="C141" t="s">
        <v>68</v>
      </c>
      <c r="D141" t="s">
        <v>69</v>
      </c>
      <c r="E141" t="s">
        <v>15</v>
      </c>
      <c r="F141" s="1">
        <v>45061</v>
      </c>
      <c r="G141" t="s">
        <v>68</v>
      </c>
      <c r="H141" t="s">
        <v>69</v>
      </c>
      <c r="I141" t="s">
        <v>15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s="3">
        <f t="shared" si="23"/>
        <v>0</v>
      </c>
      <c r="Q141" t="str">
        <f t="shared" si="18"/>
        <v>NA</v>
      </c>
      <c r="R141" t="str">
        <f t="shared" si="19"/>
        <v>NA</v>
      </c>
      <c r="S141" t="str">
        <f t="shared" si="20"/>
        <v>NA</v>
      </c>
      <c r="T141" t="str">
        <f t="shared" si="21"/>
        <v>NA</v>
      </c>
      <c r="U141">
        <f t="shared" si="22"/>
        <v>0</v>
      </c>
    </row>
    <row r="142" spans="1:21">
      <c r="A142">
        <v>55</v>
      </c>
      <c r="B142" s="1">
        <v>45061</v>
      </c>
      <c r="C142" t="s">
        <v>70</v>
      </c>
      <c r="D142" t="s">
        <v>71</v>
      </c>
      <c r="E142" t="s">
        <v>15</v>
      </c>
      <c r="F142" s="1">
        <v>45061</v>
      </c>
      <c r="G142" t="s">
        <v>70</v>
      </c>
      <c r="H142" t="s">
        <v>71</v>
      </c>
      <c r="I142" t="s">
        <v>15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s="3">
        <f t="shared" si="23"/>
        <v>0</v>
      </c>
      <c r="Q142" t="str">
        <f t="shared" si="18"/>
        <v>NA</v>
      </c>
      <c r="R142" t="str">
        <f t="shared" si="19"/>
        <v>NA</v>
      </c>
      <c r="S142" t="str">
        <f t="shared" si="20"/>
        <v>NA</v>
      </c>
      <c r="T142" t="str">
        <f t="shared" si="21"/>
        <v>NA</v>
      </c>
      <c r="U142">
        <f t="shared" si="22"/>
        <v>0</v>
      </c>
    </row>
    <row r="143" spans="1:21">
      <c r="A143">
        <v>56</v>
      </c>
      <c r="B143" s="1">
        <v>45061</v>
      </c>
      <c r="C143" t="s">
        <v>72</v>
      </c>
      <c r="D143" t="s">
        <v>73</v>
      </c>
      <c r="E143" t="s">
        <v>15</v>
      </c>
      <c r="F143" s="1">
        <v>45061</v>
      </c>
      <c r="G143" t="s">
        <v>72</v>
      </c>
      <c r="H143" t="s">
        <v>73</v>
      </c>
      <c r="I143" t="s">
        <v>15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s="3">
        <f t="shared" si="23"/>
        <v>0</v>
      </c>
      <c r="Q143" t="str">
        <f t="shared" si="18"/>
        <v>NA</v>
      </c>
      <c r="R143" t="str">
        <f t="shared" si="19"/>
        <v>NA</v>
      </c>
      <c r="S143" t="str">
        <f t="shared" si="20"/>
        <v>NA</v>
      </c>
      <c r="T143" t="str">
        <f t="shared" si="21"/>
        <v>NA</v>
      </c>
      <c r="U143">
        <f t="shared" si="22"/>
        <v>0</v>
      </c>
    </row>
    <row r="144" spans="1:21">
      <c r="A144">
        <v>57</v>
      </c>
      <c r="B144" s="1">
        <v>45061</v>
      </c>
      <c r="C144" t="s">
        <v>74</v>
      </c>
      <c r="D144" t="s">
        <v>75</v>
      </c>
      <c r="E144" t="s">
        <v>58</v>
      </c>
      <c r="F144" s="1">
        <v>45061</v>
      </c>
      <c r="G144" t="s">
        <v>74</v>
      </c>
      <c r="H144" t="s">
        <v>75</v>
      </c>
      <c r="I144" t="s">
        <v>58</v>
      </c>
      <c r="J144" t="s">
        <v>22</v>
      </c>
      <c r="K144" t="s">
        <v>22</v>
      </c>
      <c r="L144" t="s">
        <v>22</v>
      </c>
      <c r="M144">
        <v>100</v>
      </c>
      <c r="N144" t="s">
        <v>22</v>
      </c>
      <c r="O144" t="s">
        <v>22</v>
      </c>
      <c r="P144" s="3">
        <f t="shared" si="23"/>
        <v>1</v>
      </c>
      <c r="Q144" t="str">
        <f t="shared" si="18"/>
        <v>NA</v>
      </c>
      <c r="R144" t="str">
        <f t="shared" si="19"/>
        <v>NA</v>
      </c>
      <c r="S144" t="str">
        <f t="shared" si="20"/>
        <v>NA</v>
      </c>
      <c r="T144" t="str">
        <f t="shared" si="21"/>
        <v>NA</v>
      </c>
      <c r="U144">
        <f t="shared" si="22"/>
        <v>0</v>
      </c>
    </row>
    <row r="145" spans="1:21">
      <c r="A145">
        <v>58</v>
      </c>
      <c r="B145" s="1">
        <v>45061</v>
      </c>
      <c r="C145" t="s">
        <v>77</v>
      </c>
      <c r="D145" t="s">
        <v>78</v>
      </c>
      <c r="E145" t="s">
        <v>22</v>
      </c>
      <c r="F145" s="1">
        <v>45061</v>
      </c>
      <c r="G145" t="s">
        <v>77</v>
      </c>
      <c r="H145" t="s">
        <v>78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s="3">
        <f t="shared" si="23"/>
        <v>0</v>
      </c>
      <c r="Q145" t="str">
        <f t="shared" si="18"/>
        <v>NA</v>
      </c>
      <c r="R145" t="str">
        <f t="shared" si="19"/>
        <v>NA</v>
      </c>
      <c r="S145" t="str">
        <f t="shared" si="20"/>
        <v>NA</v>
      </c>
      <c r="T145" t="str">
        <f t="shared" si="21"/>
        <v>NA</v>
      </c>
      <c r="U145">
        <f t="shared" si="22"/>
        <v>0</v>
      </c>
    </row>
    <row r="146" spans="1:21">
      <c r="A146">
        <v>59</v>
      </c>
      <c r="B146" s="1">
        <v>45061</v>
      </c>
      <c r="C146" t="s">
        <v>79</v>
      </c>
      <c r="D146" t="s">
        <v>80</v>
      </c>
      <c r="E146" t="s">
        <v>65</v>
      </c>
      <c r="F146" s="1">
        <v>45061</v>
      </c>
      <c r="G146" t="s">
        <v>79</v>
      </c>
      <c r="H146" t="s">
        <v>80</v>
      </c>
      <c r="I146" t="s">
        <v>65</v>
      </c>
      <c r="J146" t="s">
        <v>22</v>
      </c>
      <c r="K146">
        <v>100</v>
      </c>
      <c r="L146" t="s">
        <v>22</v>
      </c>
      <c r="M146" t="s">
        <v>22</v>
      </c>
      <c r="N146" t="s">
        <v>22</v>
      </c>
      <c r="O146" t="s">
        <v>22</v>
      </c>
      <c r="P146" s="3">
        <f t="shared" si="23"/>
        <v>1</v>
      </c>
      <c r="Q146" t="str">
        <f t="shared" si="18"/>
        <v>NA</v>
      </c>
      <c r="R146" t="str">
        <f t="shared" si="19"/>
        <v>NA</v>
      </c>
      <c r="S146" t="str">
        <f t="shared" si="20"/>
        <v>NA</v>
      </c>
      <c r="T146" t="str">
        <f t="shared" si="21"/>
        <v>NA</v>
      </c>
      <c r="U146">
        <f t="shared" si="22"/>
        <v>0</v>
      </c>
    </row>
    <row r="147" spans="1:21">
      <c r="A147">
        <v>60</v>
      </c>
      <c r="B147" s="1">
        <v>45061</v>
      </c>
      <c r="C147" t="s">
        <v>81</v>
      </c>
      <c r="D147" t="s">
        <v>82</v>
      </c>
      <c r="E147" t="s">
        <v>22</v>
      </c>
      <c r="F147" s="1">
        <v>45061</v>
      </c>
      <c r="G147" t="s">
        <v>81</v>
      </c>
      <c r="H147" t="s">
        <v>82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s="3">
        <f t="shared" si="23"/>
        <v>0</v>
      </c>
      <c r="Q147" t="str">
        <f t="shared" si="18"/>
        <v>NA</v>
      </c>
      <c r="R147" t="str">
        <f t="shared" si="19"/>
        <v>NA</v>
      </c>
      <c r="S147" t="str">
        <f t="shared" si="20"/>
        <v>NA</v>
      </c>
      <c r="T147" t="str">
        <f t="shared" si="21"/>
        <v>NA</v>
      </c>
      <c r="U147">
        <f t="shared" si="22"/>
        <v>0</v>
      </c>
    </row>
    <row r="148" spans="1:21">
      <c r="A148">
        <v>61</v>
      </c>
      <c r="B148" s="1">
        <v>45073</v>
      </c>
      <c r="C148" t="s">
        <v>13</v>
      </c>
      <c r="D148" t="s">
        <v>14</v>
      </c>
      <c r="E148">
        <v>0</v>
      </c>
      <c r="F148" s="1">
        <v>45073</v>
      </c>
      <c r="G148" t="s">
        <v>13</v>
      </c>
      <c r="H148" t="s">
        <v>14</v>
      </c>
      <c r="I148">
        <v>0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s="3">
        <f t="shared" si="23"/>
        <v>0</v>
      </c>
      <c r="Q148" t="str">
        <f t="shared" si="18"/>
        <v>NA</v>
      </c>
      <c r="R148" t="str">
        <f t="shared" si="19"/>
        <v>NA</v>
      </c>
      <c r="S148" t="str">
        <f t="shared" si="20"/>
        <v>NA</v>
      </c>
      <c r="T148" t="str">
        <f t="shared" si="21"/>
        <v>NA</v>
      </c>
      <c r="U148">
        <f t="shared" si="22"/>
        <v>0</v>
      </c>
    </row>
    <row r="149" spans="1:21">
      <c r="A149">
        <v>63</v>
      </c>
      <c r="B149" s="1">
        <v>45073</v>
      </c>
      <c r="C149" t="s">
        <v>20</v>
      </c>
      <c r="D149" t="s">
        <v>21</v>
      </c>
      <c r="E149" t="s">
        <v>22</v>
      </c>
      <c r="F149" s="1">
        <v>45073</v>
      </c>
      <c r="G149" t="s">
        <v>20</v>
      </c>
      <c r="H149" t="s">
        <v>21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s="3">
        <f t="shared" si="23"/>
        <v>0</v>
      </c>
      <c r="Q149" t="str">
        <f t="shared" si="18"/>
        <v>NA</v>
      </c>
      <c r="R149" t="str">
        <f t="shared" si="19"/>
        <v>NA</v>
      </c>
      <c r="S149" t="str">
        <f t="shared" si="20"/>
        <v>NA</v>
      </c>
      <c r="T149" t="str">
        <f t="shared" si="21"/>
        <v>NA</v>
      </c>
      <c r="U149">
        <f t="shared" si="22"/>
        <v>0</v>
      </c>
    </row>
    <row r="150" spans="1:21">
      <c r="A150">
        <v>65</v>
      </c>
      <c r="B150" s="1">
        <v>45073</v>
      </c>
      <c r="C150" t="s">
        <v>25</v>
      </c>
      <c r="D150" t="s">
        <v>26</v>
      </c>
      <c r="E150" t="s">
        <v>15</v>
      </c>
      <c r="F150" s="1">
        <v>45073</v>
      </c>
      <c r="G150" t="s">
        <v>25</v>
      </c>
      <c r="H150" t="s">
        <v>26</v>
      </c>
      <c r="I150" t="s">
        <v>15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s="3">
        <f t="shared" si="23"/>
        <v>0</v>
      </c>
      <c r="Q150" t="str">
        <f t="shared" si="18"/>
        <v>NA</v>
      </c>
      <c r="R150" t="str">
        <f t="shared" si="19"/>
        <v>NA</v>
      </c>
      <c r="S150" t="str">
        <f t="shared" si="20"/>
        <v>NA</v>
      </c>
      <c r="T150" t="str">
        <f t="shared" si="21"/>
        <v>NA</v>
      </c>
      <c r="U150">
        <f t="shared" si="22"/>
        <v>0</v>
      </c>
    </row>
    <row r="151" spans="1:21">
      <c r="A151">
        <v>66</v>
      </c>
      <c r="B151" s="1">
        <v>45073</v>
      </c>
      <c r="C151" t="s">
        <v>27</v>
      </c>
      <c r="D151" t="s">
        <v>28</v>
      </c>
      <c r="E151" t="s">
        <v>15</v>
      </c>
      <c r="F151" s="1">
        <v>45073</v>
      </c>
      <c r="G151" t="s">
        <v>27</v>
      </c>
      <c r="H151" t="s">
        <v>28</v>
      </c>
      <c r="I151" t="s">
        <v>15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s="3">
        <f t="shared" si="23"/>
        <v>0</v>
      </c>
      <c r="Q151" t="str">
        <f t="shared" si="18"/>
        <v>NA</v>
      </c>
      <c r="R151" t="str">
        <f t="shared" si="19"/>
        <v>NA</v>
      </c>
      <c r="S151" t="str">
        <f t="shared" si="20"/>
        <v>NA</v>
      </c>
      <c r="T151" t="str">
        <f t="shared" si="21"/>
        <v>NA</v>
      </c>
      <c r="U151">
        <f t="shared" si="22"/>
        <v>0</v>
      </c>
    </row>
    <row r="152" spans="1:21">
      <c r="A152">
        <v>67</v>
      </c>
      <c r="B152" s="1">
        <v>45073</v>
      </c>
      <c r="C152" t="s">
        <v>29</v>
      </c>
      <c r="D152" t="s">
        <v>30</v>
      </c>
      <c r="E152" t="s">
        <v>22</v>
      </c>
      <c r="F152" s="1">
        <v>45073</v>
      </c>
      <c r="G152" t="s">
        <v>29</v>
      </c>
      <c r="H152" t="s">
        <v>30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s="3">
        <f t="shared" si="23"/>
        <v>0</v>
      </c>
      <c r="Q152" t="str">
        <f t="shared" si="18"/>
        <v>NA</v>
      </c>
      <c r="R152" t="str">
        <f t="shared" si="19"/>
        <v>NA</v>
      </c>
      <c r="S152" t="str">
        <f t="shared" si="20"/>
        <v>NA</v>
      </c>
      <c r="T152" t="str">
        <f t="shared" si="21"/>
        <v>NA</v>
      </c>
      <c r="U152">
        <f t="shared" si="22"/>
        <v>0</v>
      </c>
    </row>
    <row r="153" spans="1:21">
      <c r="A153">
        <v>68</v>
      </c>
      <c r="B153" s="1">
        <v>45073</v>
      </c>
      <c r="C153" t="s">
        <v>31</v>
      </c>
      <c r="D153" t="s">
        <v>32</v>
      </c>
      <c r="E153" t="s">
        <v>22</v>
      </c>
      <c r="F153" s="1">
        <v>45073</v>
      </c>
      <c r="G153" t="s">
        <v>31</v>
      </c>
      <c r="H153" t="s">
        <v>32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s="3">
        <f t="shared" si="23"/>
        <v>0</v>
      </c>
      <c r="Q153" t="str">
        <f t="shared" si="18"/>
        <v>NA</v>
      </c>
      <c r="R153" t="str">
        <f t="shared" si="19"/>
        <v>NA</v>
      </c>
      <c r="S153" t="str">
        <f t="shared" si="20"/>
        <v>NA</v>
      </c>
      <c r="T153" t="str">
        <f t="shared" si="21"/>
        <v>NA</v>
      </c>
      <c r="U153">
        <f t="shared" si="22"/>
        <v>0</v>
      </c>
    </row>
    <row r="154" spans="1:21">
      <c r="A154">
        <v>69</v>
      </c>
      <c r="B154" s="1">
        <v>45073</v>
      </c>
      <c r="C154" t="s">
        <v>33</v>
      </c>
      <c r="D154" t="s">
        <v>34</v>
      </c>
      <c r="E154" t="s">
        <v>15</v>
      </c>
      <c r="F154" s="1">
        <v>45073</v>
      </c>
      <c r="G154" t="s">
        <v>33</v>
      </c>
      <c r="H154" t="s">
        <v>34</v>
      </c>
      <c r="I154" t="s">
        <v>15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s="3">
        <f t="shared" si="23"/>
        <v>0</v>
      </c>
      <c r="Q154" t="str">
        <f t="shared" si="18"/>
        <v>NA</v>
      </c>
      <c r="R154" t="str">
        <f t="shared" si="19"/>
        <v>NA</v>
      </c>
      <c r="S154" t="str">
        <f t="shared" si="20"/>
        <v>NA</v>
      </c>
      <c r="T154" t="str">
        <f t="shared" si="21"/>
        <v>NA</v>
      </c>
      <c r="U154">
        <f t="shared" si="22"/>
        <v>0</v>
      </c>
    </row>
    <row r="155" spans="1:21">
      <c r="A155">
        <v>70</v>
      </c>
      <c r="B155" s="1">
        <v>45073</v>
      </c>
      <c r="C155" t="s">
        <v>35</v>
      </c>
      <c r="D155" t="s">
        <v>36</v>
      </c>
      <c r="E155" t="s">
        <v>15</v>
      </c>
      <c r="F155" s="1">
        <v>45073</v>
      </c>
      <c r="G155" t="s">
        <v>35</v>
      </c>
      <c r="H155" t="s">
        <v>36</v>
      </c>
      <c r="I155" t="s">
        <v>15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s="3">
        <f t="shared" si="23"/>
        <v>0</v>
      </c>
      <c r="Q155" t="str">
        <f t="shared" si="18"/>
        <v>NA</v>
      </c>
      <c r="R155" t="str">
        <f t="shared" si="19"/>
        <v>NA</v>
      </c>
      <c r="S155" t="str">
        <f t="shared" si="20"/>
        <v>NA</v>
      </c>
      <c r="T155" t="str">
        <f t="shared" si="21"/>
        <v>NA</v>
      </c>
      <c r="U155">
        <f t="shared" si="22"/>
        <v>0</v>
      </c>
    </row>
    <row r="156" spans="1:21">
      <c r="A156">
        <v>71</v>
      </c>
      <c r="B156" s="1">
        <v>45073</v>
      </c>
      <c r="C156" t="s">
        <v>37</v>
      </c>
      <c r="D156" t="s">
        <v>38</v>
      </c>
      <c r="E156" t="s">
        <v>65</v>
      </c>
      <c r="F156" s="1">
        <v>45073</v>
      </c>
      <c r="G156" t="s">
        <v>37</v>
      </c>
      <c r="H156" t="s">
        <v>38</v>
      </c>
      <c r="I156" t="s">
        <v>65</v>
      </c>
      <c r="J156" t="s">
        <v>22</v>
      </c>
      <c r="K156">
        <v>100</v>
      </c>
      <c r="L156" t="s">
        <v>22</v>
      </c>
      <c r="M156" t="s">
        <v>22</v>
      </c>
      <c r="N156" t="s">
        <v>22</v>
      </c>
      <c r="O156" t="s">
        <v>22</v>
      </c>
      <c r="P156" s="3">
        <f t="shared" si="23"/>
        <v>1</v>
      </c>
      <c r="Q156" t="str">
        <f t="shared" si="18"/>
        <v>NA</v>
      </c>
      <c r="R156" t="str">
        <f t="shared" si="19"/>
        <v>NA</v>
      </c>
      <c r="S156" t="str">
        <f t="shared" si="20"/>
        <v>NA</v>
      </c>
      <c r="T156" t="str">
        <f t="shared" si="21"/>
        <v>NA</v>
      </c>
      <c r="U156">
        <f t="shared" si="22"/>
        <v>0</v>
      </c>
    </row>
    <row r="157" spans="1:21">
      <c r="A157">
        <v>72</v>
      </c>
      <c r="B157" s="1">
        <v>45073</v>
      </c>
      <c r="C157" t="s">
        <v>39</v>
      </c>
      <c r="D157" t="s">
        <v>40</v>
      </c>
      <c r="E157" t="s">
        <v>65</v>
      </c>
      <c r="F157" s="1">
        <v>45073</v>
      </c>
      <c r="G157" t="s">
        <v>39</v>
      </c>
      <c r="H157" t="s">
        <v>40</v>
      </c>
      <c r="I157" t="s">
        <v>65</v>
      </c>
      <c r="J157" t="s">
        <v>22</v>
      </c>
      <c r="K157">
        <v>100</v>
      </c>
      <c r="L157" t="s">
        <v>22</v>
      </c>
      <c r="M157" t="s">
        <v>22</v>
      </c>
      <c r="N157" t="s">
        <v>22</v>
      </c>
      <c r="O157" t="s">
        <v>22</v>
      </c>
      <c r="P157" s="3">
        <f t="shared" si="23"/>
        <v>1</v>
      </c>
      <c r="Q157" t="str">
        <f t="shared" si="18"/>
        <v>NA</v>
      </c>
      <c r="R157" t="str">
        <f t="shared" si="19"/>
        <v>NA</v>
      </c>
      <c r="S157" t="str">
        <f t="shared" si="20"/>
        <v>NA</v>
      </c>
      <c r="T157" t="str">
        <f t="shared" si="21"/>
        <v>NA</v>
      </c>
      <c r="U157">
        <f t="shared" si="22"/>
        <v>0</v>
      </c>
    </row>
    <row r="158" spans="1:21">
      <c r="A158">
        <v>73</v>
      </c>
      <c r="B158" s="1">
        <v>45073</v>
      </c>
      <c r="C158" t="s">
        <v>41</v>
      </c>
      <c r="D158" t="s">
        <v>42</v>
      </c>
      <c r="E158" t="s">
        <v>22</v>
      </c>
      <c r="F158" s="1">
        <v>45073</v>
      </c>
      <c r="G158" t="s">
        <v>41</v>
      </c>
      <c r="H158" t="s">
        <v>42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s="3">
        <f t="shared" si="23"/>
        <v>0</v>
      </c>
      <c r="Q158" t="str">
        <f t="shared" si="18"/>
        <v>NA</v>
      </c>
      <c r="R158" t="str">
        <f t="shared" si="19"/>
        <v>NA</v>
      </c>
      <c r="S158" t="str">
        <f t="shared" si="20"/>
        <v>NA</v>
      </c>
      <c r="T158" t="str">
        <f t="shared" si="21"/>
        <v>NA</v>
      </c>
      <c r="U158">
        <f t="shared" si="22"/>
        <v>0</v>
      </c>
    </row>
    <row r="159" spans="1:21">
      <c r="A159">
        <v>74</v>
      </c>
      <c r="B159" s="1">
        <v>45073</v>
      </c>
      <c r="C159" t="s">
        <v>43</v>
      </c>
      <c r="D159" t="s">
        <v>44</v>
      </c>
      <c r="E159" t="s">
        <v>87</v>
      </c>
      <c r="F159" s="1">
        <v>45073</v>
      </c>
      <c r="G159" t="s">
        <v>43</v>
      </c>
      <c r="H159" t="s">
        <v>44</v>
      </c>
      <c r="I159" t="s">
        <v>87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s="3">
        <f t="shared" si="23"/>
        <v>0</v>
      </c>
      <c r="Q159" t="str">
        <f t="shared" si="18"/>
        <v>NA</v>
      </c>
      <c r="R159" t="str">
        <f t="shared" si="19"/>
        <v>NA</v>
      </c>
      <c r="S159" t="str">
        <f t="shared" si="20"/>
        <v>NA</v>
      </c>
      <c r="T159" t="str">
        <f t="shared" si="21"/>
        <v>NA</v>
      </c>
      <c r="U159">
        <f t="shared" si="22"/>
        <v>0</v>
      </c>
    </row>
    <row r="160" spans="1:21">
      <c r="A160">
        <v>76</v>
      </c>
      <c r="B160" s="1">
        <v>45073</v>
      </c>
      <c r="C160" t="s">
        <v>48</v>
      </c>
      <c r="D160" t="s">
        <v>49</v>
      </c>
      <c r="E160" t="s">
        <v>15</v>
      </c>
      <c r="F160" s="1">
        <v>45073</v>
      </c>
      <c r="G160" t="s">
        <v>48</v>
      </c>
      <c r="H160" t="s">
        <v>49</v>
      </c>
      <c r="I160" t="s">
        <v>15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s="3">
        <f t="shared" si="23"/>
        <v>0</v>
      </c>
      <c r="Q160" t="str">
        <f t="shared" si="18"/>
        <v>NA</v>
      </c>
      <c r="R160" t="str">
        <f t="shared" si="19"/>
        <v>NA</v>
      </c>
      <c r="S160" t="str">
        <f t="shared" si="20"/>
        <v>NA</v>
      </c>
      <c r="T160" t="str">
        <f t="shared" si="21"/>
        <v>NA</v>
      </c>
      <c r="U160">
        <f t="shared" si="22"/>
        <v>0</v>
      </c>
    </row>
    <row r="161" spans="1:21">
      <c r="A161">
        <v>77</v>
      </c>
      <c r="B161" s="1">
        <v>45073</v>
      </c>
      <c r="C161" t="s">
        <v>50</v>
      </c>
      <c r="D161" t="s">
        <v>51</v>
      </c>
      <c r="E161" t="s">
        <v>15</v>
      </c>
      <c r="F161" s="1">
        <v>45073</v>
      </c>
      <c r="G161" t="s">
        <v>50</v>
      </c>
      <c r="H161" t="s">
        <v>51</v>
      </c>
      <c r="I161" t="s">
        <v>15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s="3">
        <f t="shared" si="23"/>
        <v>0</v>
      </c>
      <c r="Q161" t="str">
        <f t="shared" si="18"/>
        <v>NA</v>
      </c>
      <c r="R161" t="str">
        <f t="shared" si="19"/>
        <v>NA</v>
      </c>
      <c r="S161" t="str">
        <f t="shared" si="20"/>
        <v>NA</v>
      </c>
      <c r="T161" t="str">
        <f t="shared" si="21"/>
        <v>NA</v>
      </c>
      <c r="U161">
        <f t="shared" si="22"/>
        <v>0</v>
      </c>
    </row>
    <row r="162" spans="1:21">
      <c r="A162">
        <v>78</v>
      </c>
      <c r="B162" s="1">
        <v>45073</v>
      </c>
      <c r="C162" t="s">
        <v>53</v>
      </c>
      <c r="D162" t="s">
        <v>54</v>
      </c>
      <c r="E162" t="s">
        <v>15</v>
      </c>
      <c r="F162" s="1">
        <v>45073</v>
      </c>
      <c r="G162" t="s">
        <v>53</v>
      </c>
      <c r="H162" t="s">
        <v>54</v>
      </c>
      <c r="I162" t="s">
        <v>15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s="3">
        <f t="shared" si="23"/>
        <v>0</v>
      </c>
      <c r="Q162" t="str">
        <f t="shared" si="18"/>
        <v>NA</v>
      </c>
      <c r="R162" t="str">
        <f t="shared" si="19"/>
        <v>NA</v>
      </c>
      <c r="S162" t="str">
        <f t="shared" si="20"/>
        <v>NA</v>
      </c>
      <c r="T162" t="str">
        <f t="shared" si="21"/>
        <v>NA</v>
      </c>
      <c r="U162">
        <f t="shared" si="22"/>
        <v>0</v>
      </c>
    </row>
    <row r="163" spans="1:21">
      <c r="A163">
        <v>79</v>
      </c>
      <c r="B163" s="1">
        <v>45073</v>
      </c>
      <c r="C163" t="s">
        <v>56</v>
      </c>
      <c r="D163" t="s">
        <v>57</v>
      </c>
      <c r="E163" t="s">
        <v>15</v>
      </c>
      <c r="F163" s="1">
        <v>45073</v>
      </c>
      <c r="G163" t="s">
        <v>56</v>
      </c>
      <c r="H163" t="s">
        <v>57</v>
      </c>
      <c r="I163" t="s">
        <v>15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s="3">
        <f t="shared" si="23"/>
        <v>0</v>
      </c>
      <c r="Q163" t="str">
        <f t="shared" si="18"/>
        <v>NA</v>
      </c>
      <c r="R163" t="str">
        <f t="shared" si="19"/>
        <v>NA</v>
      </c>
      <c r="S163" t="str">
        <f t="shared" si="20"/>
        <v>NA</v>
      </c>
      <c r="T163" t="str">
        <f t="shared" si="21"/>
        <v>NA</v>
      </c>
      <c r="U163">
        <f t="shared" si="22"/>
        <v>0</v>
      </c>
    </row>
    <row r="164" spans="1:21">
      <c r="A164">
        <v>80</v>
      </c>
      <c r="B164" s="1">
        <v>45073</v>
      </c>
      <c r="C164" t="s">
        <v>59</v>
      </c>
      <c r="D164" t="s">
        <v>60</v>
      </c>
      <c r="E164" t="s">
        <v>65</v>
      </c>
      <c r="F164" s="1">
        <v>45073</v>
      </c>
      <c r="G164" t="s">
        <v>59</v>
      </c>
      <c r="H164" t="s">
        <v>60</v>
      </c>
      <c r="I164" t="s">
        <v>65</v>
      </c>
      <c r="J164" t="s">
        <v>22</v>
      </c>
      <c r="K164">
        <v>100</v>
      </c>
      <c r="L164" t="s">
        <v>22</v>
      </c>
      <c r="M164" t="s">
        <v>22</v>
      </c>
      <c r="N164" t="s">
        <v>22</v>
      </c>
      <c r="O164" t="s">
        <v>22</v>
      </c>
      <c r="P164" s="3">
        <f t="shared" si="23"/>
        <v>1</v>
      </c>
      <c r="Q164" t="str">
        <f t="shared" si="18"/>
        <v>NA</v>
      </c>
      <c r="R164" t="str">
        <f t="shared" si="19"/>
        <v>NA</v>
      </c>
      <c r="S164" t="str">
        <f t="shared" si="20"/>
        <v>NA</v>
      </c>
      <c r="T164" t="str">
        <f t="shared" si="21"/>
        <v>NA</v>
      </c>
      <c r="U164">
        <f t="shared" si="22"/>
        <v>0</v>
      </c>
    </row>
    <row r="165" spans="1:21">
      <c r="A165">
        <v>81</v>
      </c>
      <c r="B165" s="1">
        <v>45073</v>
      </c>
      <c r="C165" t="s">
        <v>61</v>
      </c>
      <c r="D165" t="s">
        <v>62</v>
      </c>
      <c r="E165" t="s">
        <v>15</v>
      </c>
      <c r="F165" s="1">
        <v>45073</v>
      </c>
      <c r="G165" t="s">
        <v>61</v>
      </c>
      <c r="H165" t="s">
        <v>62</v>
      </c>
      <c r="I165" t="s">
        <v>15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s="3">
        <f t="shared" si="23"/>
        <v>0</v>
      </c>
      <c r="Q165" t="str">
        <f t="shared" si="18"/>
        <v>NA</v>
      </c>
      <c r="R165" t="str">
        <f t="shared" si="19"/>
        <v>NA</v>
      </c>
      <c r="S165" t="str">
        <f t="shared" si="20"/>
        <v>NA</v>
      </c>
      <c r="T165" t="str">
        <f t="shared" si="21"/>
        <v>NA</v>
      </c>
      <c r="U165">
        <f t="shared" si="22"/>
        <v>0</v>
      </c>
    </row>
    <row r="166" spans="1:21">
      <c r="A166">
        <v>82</v>
      </c>
      <c r="B166" s="1">
        <v>45073</v>
      </c>
      <c r="C166" t="s">
        <v>63</v>
      </c>
      <c r="D166" t="s">
        <v>64</v>
      </c>
      <c r="E166" t="s">
        <v>15</v>
      </c>
      <c r="F166" s="1">
        <v>45073</v>
      </c>
      <c r="G166" t="s">
        <v>63</v>
      </c>
      <c r="H166" t="s">
        <v>64</v>
      </c>
      <c r="I166" t="s">
        <v>15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s="3">
        <f t="shared" si="23"/>
        <v>0</v>
      </c>
      <c r="Q166" t="str">
        <f t="shared" si="18"/>
        <v>NA</v>
      </c>
      <c r="R166" t="str">
        <f t="shared" si="19"/>
        <v>NA</v>
      </c>
      <c r="S166" t="str">
        <f t="shared" si="20"/>
        <v>NA</v>
      </c>
      <c r="T166" t="str">
        <f t="shared" si="21"/>
        <v>NA</v>
      </c>
      <c r="U166">
        <f t="shared" si="22"/>
        <v>0</v>
      </c>
    </row>
    <row r="167" spans="1:21">
      <c r="A167">
        <v>83</v>
      </c>
      <c r="B167" s="1">
        <v>45073</v>
      </c>
      <c r="C167" t="s">
        <v>66</v>
      </c>
      <c r="D167" t="s">
        <v>67</v>
      </c>
      <c r="E167" t="s">
        <v>15</v>
      </c>
      <c r="F167" s="1">
        <v>45073</v>
      </c>
      <c r="G167" t="s">
        <v>66</v>
      </c>
      <c r="H167" t="s">
        <v>67</v>
      </c>
      <c r="I167" t="s">
        <v>15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s="3">
        <f t="shared" si="23"/>
        <v>0</v>
      </c>
      <c r="Q167" t="str">
        <f t="shared" si="18"/>
        <v>NA</v>
      </c>
      <c r="R167" t="str">
        <f t="shared" si="19"/>
        <v>NA</v>
      </c>
      <c r="S167" t="str">
        <f t="shared" si="20"/>
        <v>NA</v>
      </c>
      <c r="T167" t="str">
        <f t="shared" si="21"/>
        <v>NA</v>
      </c>
      <c r="U167">
        <f t="shared" si="22"/>
        <v>0</v>
      </c>
    </row>
    <row r="168" spans="1:21">
      <c r="A168">
        <v>84</v>
      </c>
      <c r="B168" s="1">
        <v>45073</v>
      </c>
      <c r="C168" t="s">
        <v>68</v>
      </c>
      <c r="D168" t="s">
        <v>69</v>
      </c>
      <c r="E168" t="s">
        <v>15</v>
      </c>
      <c r="F168" s="1">
        <v>45073</v>
      </c>
      <c r="G168" t="s">
        <v>68</v>
      </c>
      <c r="H168" t="s">
        <v>69</v>
      </c>
      <c r="I168" t="s">
        <v>15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s="3">
        <f t="shared" si="23"/>
        <v>0</v>
      </c>
      <c r="Q168" t="str">
        <f t="shared" si="18"/>
        <v>NA</v>
      </c>
      <c r="R168" t="str">
        <f t="shared" si="19"/>
        <v>NA</v>
      </c>
      <c r="S168" t="str">
        <f t="shared" si="20"/>
        <v>NA</v>
      </c>
      <c r="T168" t="str">
        <f t="shared" si="21"/>
        <v>NA</v>
      </c>
      <c r="U168">
        <f t="shared" si="22"/>
        <v>0</v>
      </c>
    </row>
    <row r="169" spans="1:21">
      <c r="A169">
        <v>85</v>
      </c>
      <c r="B169" s="1">
        <v>45073</v>
      </c>
      <c r="C169" t="s">
        <v>70</v>
      </c>
      <c r="D169" t="s">
        <v>71</v>
      </c>
      <c r="E169" t="s">
        <v>15</v>
      </c>
      <c r="F169" s="1">
        <v>45073</v>
      </c>
      <c r="G169" t="s">
        <v>70</v>
      </c>
      <c r="H169" t="s">
        <v>71</v>
      </c>
      <c r="I169" t="s">
        <v>15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s="3">
        <f t="shared" si="23"/>
        <v>0</v>
      </c>
      <c r="Q169" t="str">
        <f t="shared" si="18"/>
        <v>NA</v>
      </c>
      <c r="R169" t="str">
        <f t="shared" si="19"/>
        <v>NA</v>
      </c>
      <c r="S169" t="str">
        <f t="shared" si="20"/>
        <v>NA</v>
      </c>
      <c r="T169" t="str">
        <f t="shared" si="21"/>
        <v>NA</v>
      </c>
      <c r="U169">
        <f t="shared" si="22"/>
        <v>0</v>
      </c>
    </row>
    <row r="170" spans="1:21">
      <c r="A170">
        <v>86</v>
      </c>
      <c r="B170" s="1">
        <v>45073</v>
      </c>
      <c r="C170" t="s">
        <v>72</v>
      </c>
      <c r="D170" t="s">
        <v>73</v>
      </c>
      <c r="E170" t="s">
        <v>15</v>
      </c>
      <c r="F170" s="1">
        <v>45073</v>
      </c>
      <c r="G170" t="s">
        <v>72</v>
      </c>
      <c r="H170" t="s">
        <v>73</v>
      </c>
      <c r="I170" t="s">
        <v>15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s="3">
        <f t="shared" si="23"/>
        <v>0</v>
      </c>
      <c r="Q170" t="str">
        <f t="shared" si="18"/>
        <v>NA</v>
      </c>
      <c r="R170" t="str">
        <f t="shared" si="19"/>
        <v>NA</v>
      </c>
      <c r="S170" t="str">
        <f t="shared" si="20"/>
        <v>NA</v>
      </c>
      <c r="T170" t="str">
        <f t="shared" si="21"/>
        <v>NA</v>
      </c>
      <c r="U170">
        <f t="shared" si="22"/>
        <v>0</v>
      </c>
    </row>
    <row r="171" spans="1:21">
      <c r="A171">
        <v>88</v>
      </c>
      <c r="B171" s="1">
        <v>45073</v>
      </c>
      <c r="C171" t="s">
        <v>77</v>
      </c>
      <c r="D171" t="s">
        <v>78</v>
      </c>
      <c r="E171" t="s">
        <v>15</v>
      </c>
      <c r="F171" s="1">
        <v>45073</v>
      </c>
      <c r="G171" t="s">
        <v>77</v>
      </c>
      <c r="H171" t="s">
        <v>78</v>
      </c>
      <c r="I171" t="s">
        <v>15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s="3">
        <f t="shared" si="23"/>
        <v>0</v>
      </c>
      <c r="Q171" t="str">
        <f t="shared" si="18"/>
        <v>NA</v>
      </c>
      <c r="R171" t="str">
        <f t="shared" si="19"/>
        <v>NA</v>
      </c>
      <c r="S171" t="str">
        <f t="shared" si="20"/>
        <v>NA</v>
      </c>
      <c r="T171" t="str">
        <f t="shared" si="21"/>
        <v>NA</v>
      </c>
      <c r="U171">
        <f t="shared" si="22"/>
        <v>0</v>
      </c>
    </row>
    <row r="172" spans="1:21">
      <c r="A172">
        <v>89</v>
      </c>
      <c r="B172" s="1">
        <v>45073</v>
      </c>
      <c r="C172" t="s">
        <v>79</v>
      </c>
      <c r="D172" t="s">
        <v>80</v>
      </c>
      <c r="E172" t="s">
        <v>15</v>
      </c>
      <c r="F172" s="1">
        <v>45073</v>
      </c>
      <c r="G172" t="s">
        <v>79</v>
      </c>
      <c r="H172" t="s">
        <v>80</v>
      </c>
      <c r="I172" t="s">
        <v>15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s="3">
        <f t="shared" si="23"/>
        <v>0</v>
      </c>
      <c r="Q172" t="str">
        <f t="shared" si="18"/>
        <v>NA</v>
      </c>
      <c r="R172" t="str">
        <f t="shared" si="19"/>
        <v>NA</v>
      </c>
      <c r="S172" t="str">
        <f t="shared" si="20"/>
        <v>NA</v>
      </c>
      <c r="T172" t="str">
        <f t="shared" si="21"/>
        <v>NA</v>
      </c>
      <c r="U172">
        <f t="shared" si="22"/>
        <v>0</v>
      </c>
    </row>
    <row r="173" spans="1:21">
      <c r="A173">
        <v>90</v>
      </c>
      <c r="B173" s="1">
        <v>45073</v>
      </c>
      <c r="C173" t="s">
        <v>81</v>
      </c>
      <c r="D173" t="s">
        <v>82</v>
      </c>
      <c r="E173" t="s">
        <v>22</v>
      </c>
      <c r="F173" s="1">
        <v>45073</v>
      </c>
      <c r="G173" t="s">
        <v>81</v>
      </c>
      <c r="H173" t="s">
        <v>82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s="3">
        <f t="shared" si="23"/>
        <v>0</v>
      </c>
      <c r="Q173" t="str">
        <f t="shared" si="18"/>
        <v>NA</v>
      </c>
      <c r="R173" t="str">
        <f t="shared" si="19"/>
        <v>NA</v>
      </c>
      <c r="S173" t="str">
        <f t="shared" si="20"/>
        <v>NA</v>
      </c>
      <c r="T173" t="str">
        <f t="shared" si="21"/>
        <v>NA</v>
      </c>
      <c r="U173">
        <f t="shared" si="22"/>
        <v>0</v>
      </c>
    </row>
    <row r="174" spans="1:21">
      <c r="A174">
        <v>91</v>
      </c>
      <c r="B174" s="1">
        <v>45089</v>
      </c>
      <c r="C174" t="s">
        <v>13</v>
      </c>
      <c r="D174" t="s">
        <v>14</v>
      </c>
      <c r="E174" t="s">
        <v>15</v>
      </c>
      <c r="F174" s="1">
        <v>45089</v>
      </c>
      <c r="G174" t="s">
        <v>13</v>
      </c>
      <c r="H174" t="s">
        <v>14</v>
      </c>
      <c r="I174" t="s">
        <v>15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s="3">
        <f t="shared" si="23"/>
        <v>0</v>
      </c>
      <c r="Q174" t="str">
        <f t="shared" si="18"/>
        <v>NA</v>
      </c>
      <c r="R174" t="str">
        <f t="shared" si="19"/>
        <v>NA</v>
      </c>
      <c r="S174" t="str">
        <f t="shared" si="20"/>
        <v>NA</v>
      </c>
      <c r="T174" t="str">
        <f t="shared" si="21"/>
        <v>NA</v>
      </c>
      <c r="U174">
        <f t="shared" si="22"/>
        <v>0</v>
      </c>
    </row>
    <row r="175" spans="1:21">
      <c r="A175">
        <v>92</v>
      </c>
      <c r="B175" s="1">
        <v>45089</v>
      </c>
      <c r="C175" t="s">
        <v>16</v>
      </c>
      <c r="D175" t="s">
        <v>17</v>
      </c>
      <c r="E175" t="s">
        <v>15</v>
      </c>
      <c r="F175" s="1">
        <v>45089</v>
      </c>
      <c r="G175" t="s">
        <v>16</v>
      </c>
      <c r="H175" t="s">
        <v>17</v>
      </c>
      <c r="I175" t="s">
        <v>15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s="3">
        <f t="shared" si="23"/>
        <v>0</v>
      </c>
      <c r="Q175" t="str">
        <f t="shared" si="18"/>
        <v>NA</v>
      </c>
      <c r="R175" t="str">
        <f t="shared" si="19"/>
        <v>NA</v>
      </c>
      <c r="S175" t="str">
        <f t="shared" si="20"/>
        <v>NA</v>
      </c>
      <c r="T175" t="str">
        <f t="shared" si="21"/>
        <v>NA</v>
      </c>
      <c r="U175">
        <f t="shared" si="22"/>
        <v>0</v>
      </c>
    </row>
    <row r="176" spans="1:21">
      <c r="A176">
        <v>93</v>
      </c>
      <c r="B176" s="1">
        <v>45089</v>
      </c>
      <c r="C176" t="s">
        <v>20</v>
      </c>
      <c r="D176" t="s">
        <v>21</v>
      </c>
      <c r="E176" t="s">
        <v>22</v>
      </c>
      <c r="F176" s="1">
        <v>45089</v>
      </c>
      <c r="G176" t="s">
        <v>20</v>
      </c>
      <c r="H176" t="s">
        <v>21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  <c r="P176" s="3">
        <f t="shared" si="23"/>
        <v>0</v>
      </c>
      <c r="Q176" t="str">
        <f t="shared" si="18"/>
        <v>NA</v>
      </c>
      <c r="R176" t="str">
        <f t="shared" si="19"/>
        <v>NA</v>
      </c>
      <c r="S176" t="str">
        <f t="shared" si="20"/>
        <v>NA</v>
      </c>
      <c r="T176" t="str">
        <f t="shared" si="21"/>
        <v>NA</v>
      </c>
      <c r="U176">
        <f t="shared" si="22"/>
        <v>0</v>
      </c>
    </row>
    <row r="177" spans="1:21">
      <c r="A177">
        <v>95</v>
      </c>
      <c r="B177" s="1">
        <v>45089</v>
      </c>
      <c r="C177" t="s">
        <v>25</v>
      </c>
      <c r="D177" t="s">
        <v>26</v>
      </c>
      <c r="E177" t="s">
        <v>15</v>
      </c>
      <c r="F177" s="1">
        <v>45089</v>
      </c>
      <c r="G177" t="s">
        <v>25</v>
      </c>
      <c r="H177" t="s">
        <v>26</v>
      </c>
      <c r="I177" t="s">
        <v>15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s="3">
        <f t="shared" si="23"/>
        <v>0</v>
      </c>
      <c r="Q177" t="str">
        <f t="shared" si="18"/>
        <v>NA</v>
      </c>
      <c r="R177" t="str">
        <f t="shared" si="19"/>
        <v>NA</v>
      </c>
      <c r="S177" t="str">
        <f t="shared" si="20"/>
        <v>NA</v>
      </c>
      <c r="T177" t="str">
        <f t="shared" si="21"/>
        <v>NA</v>
      </c>
      <c r="U177">
        <f t="shared" si="22"/>
        <v>0</v>
      </c>
    </row>
    <row r="178" spans="1:21">
      <c r="A178">
        <v>96</v>
      </c>
      <c r="B178" s="1">
        <v>45089</v>
      </c>
      <c r="C178" t="s">
        <v>27</v>
      </c>
      <c r="D178" t="s">
        <v>28</v>
      </c>
      <c r="E178" t="s">
        <v>15</v>
      </c>
      <c r="F178" s="1">
        <v>45089</v>
      </c>
      <c r="G178" t="s">
        <v>27</v>
      </c>
      <c r="H178" t="s">
        <v>28</v>
      </c>
      <c r="I178" t="s">
        <v>15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s="3">
        <f t="shared" si="23"/>
        <v>0</v>
      </c>
      <c r="Q178" t="str">
        <f t="shared" si="18"/>
        <v>NA</v>
      </c>
      <c r="R178" t="str">
        <f t="shared" si="19"/>
        <v>NA</v>
      </c>
      <c r="S178" t="str">
        <f t="shared" si="20"/>
        <v>NA</v>
      </c>
      <c r="T178" t="str">
        <f t="shared" si="21"/>
        <v>NA</v>
      </c>
      <c r="U178">
        <f t="shared" si="22"/>
        <v>0</v>
      </c>
    </row>
    <row r="179" spans="1:21">
      <c r="A179">
        <v>97</v>
      </c>
      <c r="B179" s="1">
        <v>45089</v>
      </c>
      <c r="C179" t="s">
        <v>29</v>
      </c>
      <c r="D179" t="s">
        <v>30</v>
      </c>
      <c r="E179" t="s">
        <v>22</v>
      </c>
      <c r="F179" s="1">
        <v>45089</v>
      </c>
      <c r="G179" t="s">
        <v>29</v>
      </c>
      <c r="H179" t="s">
        <v>30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s="3">
        <f t="shared" si="23"/>
        <v>0</v>
      </c>
      <c r="Q179" t="str">
        <f t="shared" si="18"/>
        <v>NA</v>
      </c>
      <c r="R179" t="str">
        <f t="shared" si="19"/>
        <v>NA</v>
      </c>
      <c r="S179" t="str">
        <f t="shared" si="20"/>
        <v>NA</v>
      </c>
      <c r="T179" t="str">
        <f t="shared" si="21"/>
        <v>NA</v>
      </c>
      <c r="U179">
        <f t="shared" si="22"/>
        <v>0</v>
      </c>
    </row>
    <row r="180" spans="1:21">
      <c r="A180">
        <v>98</v>
      </c>
      <c r="B180" s="1">
        <v>45089</v>
      </c>
      <c r="C180" t="s">
        <v>31</v>
      </c>
      <c r="D180" t="s">
        <v>32</v>
      </c>
      <c r="E180" t="s">
        <v>22</v>
      </c>
      <c r="F180" s="1">
        <v>45089</v>
      </c>
      <c r="G180" t="s">
        <v>31</v>
      </c>
      <c r="H180" t="s">
        <v>32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s="3">
        <f t="shared" si="23"/>
        <v>0</v>
      </c>
      <c r="Q180" t="str">
        <f t="shared" si="18"/>
        <v>NA</v>
      </c>
      <c r="R180" t="str">
        <f t="shared" si="19"/>
        <v>NA</v>
      </c>
      <c r="S180" t="str">
        <f t="shared" si="20"/>
        <v>NA</v>
      </c>
      <c r="T180" t="str">
        <f t="shared" si="21"/>
        <v>NA</v>
      </c>
      <c r="U180">
        <f t="shared" si="22"/>
        <v>0</v>
      </c>
    </row>
    <row r="181" spans="1:21">
      <c r="A181">
        <v>99</v>
      </c>
      <c r="B181" s="1">
        <v>45089</v>
      </c>
      <c r="C181" t="s">
        <v>33</v>
      </c>
      <c r="D181" t="s">
        <v>34</v>
      </c>
      <c r="E181" t="s">
        <v>15</v>
      </c>
      <c r="F181" s="1">
        <v>45089</v>
      </c>
      <c r="G181" t="s">
        <v>33</v>
      </c>
      <c r="H181" t="s">
        <v>34</v>
      </c>
      <c r="I181" t="s">
        <v>15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s="3">
        <f t="shared" si="23"/>
        <v>0</v>
      </c>
      <c r="Q181" t="str">
        <f t="shared" si="18"/>
        <v>NA</v>
      </c>
      <c r="R181" t="str">
        <f t="shared" si="19"/>
        <v>NA</v>
      </c>
      <c r="S181" t="str">
        <f t="shared" si="20"/>
        <v>NA</v>
      </c>
      <c r="T181" t="str">
        <f t="shared" si="21"/>
        <v>NA</v>
      </c>
      <c r="U181">
        <f t="shared" si="22"/>
        <v>0</v>
      </c>
    </row>
    <row r="182" spans="1:21">
      <c r="A182">
        <v>100</v>
      </c>
      <c r="B182" s="1">
        <v>45089</v>
      </c>
      <c r="C182" t="s">
        <v>35</v>
      </c>
      <c r="D182" t="s">
        <v>36</v>
      </c>
      <c r="E182" t="s">
        <v>15</v>
      </c>
      <c r="F182" s="1">
        <v>45089</v>
      </c>
      <c r="G182" t="s">
        <v>35</v>
      </c>
      <c r="H182" t="s">
        <v>36</v>
      </c>
      <c r="I182" t="s">
        <v>15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s="3">
        <f t="shared" si="23"/>
        <v>0</v>
      </c>
      <c r="Q182" t="str">
        <f t="shared" si="18"/>
        <v>NA</v>
      </c>
      <c r="R182" t="str">
        <f t="shared" si="19"/>
        <v>NA</v>
      </c>
      <c r="S182" t="str">
        <f t="shared" si="20"/>
        <v>NA</v>
      </c>
      <c r="T182" t="str">
        <f t="shared" si="21"/>
        <v>NA</v>
      </c>
      <c r="U182">
        <f t="shared" si="22"/>
        <v>0</v>
      </c>
    </row>
    <row r="183" spans="1:21">
      <c r="A183">
        <v>101</v>
      </c>
      <c r="B183" s="1">
        <v>45089</v>
      </c>
      <c r="C183" t="s">
        <v>37</v>
      </c>
      <c r="D183" t="s">
        <v>38</v>
      </c>
      <c r="E183" t="s">
        <v>92</v>
      </c>
      <c r="F183" s="1">
        <v>45089</v>
      </c>
      <c r="G183" t="s">
        <v>37</v>
      </c>
      <c r="H183" t="s">
        <v>38</v>
      </c>
      <c r="I183" t="s">
        <v>92</v>
      </c>
      <c r="J183" t="s">
        <v>22</v>
      </c>
      <c r="K183">
        <v>75</v>
      </c>
      <c r="L183" t="s">
        <v>22</v>
      </c>
      <c r="M183">
        <v>25</v>
      </c>
      <c r="N183" t="s">
        <v>22</v>
      </c>
      <c r="O183" t="s">
        <v>22</v>
      </c>
      <c r="P183" s="3">
        <f t="shared" si="23"/>
        <v>2</v>
      </c>
      <c r="Q183" t="str">
        <f t="shared" si="18"/>
        <v>NA</v>
      </c>
      <c r="R183" t="str">
        <f t="shared" si="19"/>
        <v>NA</v>
      </c>
      <c r="S183" t="str">
        <f t="shared" si="20"/>
        <v>NA</v>
      </c>
      <c r="T183" t="str">
        <f t="shared" si="21"/>
        <v>NA</v>
      </c>
      <c r="U183">
        <f t="shared" si="22"/>
        <v>0</v>
      </c>
    </row>
    <row r="184" spans="1:21">
      <c r="A184">
        <v>102</v>
      </c>
      <c r="B184" s="1">
        <v>45089</v>
      </c>
      <c r="C184" t="s">
        <v>39</v>
      </c>
      <c r="D184" t="s">
        <v>40</v>
      </c>
      <c r="E184" t="s">
        <v>22</v>
      </c>
      <c r="F184" s="1">
        <v>45089</v>
      </c>
      <c r="G184" t="s">
        <v>39</v>
      </c>
      <c r="H184" t="s">
        <v>40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s="3">
        <f t="shared" si="23"/>
        <v>0</v>
      </c>
      <c r="Q184" t="str">
        <f t="shared" si="18"/>
        <v>NA</v>
      </c>
      <c r="R184" t="str">
        <f t="shared" si="19"/>
        <v>NA</v>
      </c>
      <c r="S184" t="str">
        <f t="shared" si="20"/>
        <v>NA</v>
      </c>
      <c r="T184" t="str">
        <f t="shared" si="21"/>
        <v>NA</v>
      </c>
      <c r="U184">
        <f t="shared" si="22"/>
        <v>0</v>
      </c>
    </row>
    <row r="185" spans="1:21">
      <c r="A185">
        <v>103</v>
      </c>
      <c r="B185" s="1">
        <v>45089</v>
      </c>
      <c r="C185" t="s">
        <v>41</v>
      </c>
      <c r="D185" t="s">
        <v>42</v>
      </c>
      <c r="E185" t="s">
        <v>22</v>
      </c>
      <c r="F185" s="1">
        <v>45089</v>
      </c>
      <c r="G185" t="s">
        <v>41</v>
      </c>
      <c r="H185" t="s">
        <v>42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s="3">
        <f t="shared" si="23"/>
        <v>0</v>
      </c>
      <c r="Q185" t="str">
        <f t="shared" si="18"/>
        <v>NA</v>
      </c>
      <c r="R185" t="str">
        <f t="shared" si="19"/>
        <v>NA</v>
      </c>
      <c r="S185" t="str">
        <f t="shared" si="20"/>
        <v>NA</v>
      </c>
      <c r="T185" t="str">
        <f t="shared" si="21"/>
        <v>NA</v>
      </c>
      <c r="U185">
        <f t="shared" si="22"/>
        <v>0</v>
      </c>
    </row>
    <row r="186" spans="1:21">
      <c r="A186">
        <v>106</v>
      </c>
      <c r="B186" s="1">
        <v>45089</v>
      </c>
      <c r="C186" t="s">
        <v>48</v>
      </c>
      <c r="D186" t="s">
        <v>49</v>
      </c>
      <c r="E186" t="s">
        <v>93</v>
      </c>
      <c r="F186" s="1">
        <v>45089</v>
      </c>
      <c r="G186" t="s">
        <v>48</v>
      </c>
      <c r="H186" t="s">
        <v>49</v>
      </c>
      <c r="I186" t="s">
        <v>93</v>
      </c>
      <c r="J186" t="s">
        <v>22</v>
      </c>
      <c r="K186">
        <v>50</v>
      </c>
      <c r="L186" t="s">
        <v>22</v>
      </c>
      <c r="M186">
        <v>50</v>
      </c>
      <c r="N186" t="s">
        <v>22</v>
      </c>
      <c r="O186" t="s">
        <v>22</v>
      </c>
      <c r="P186" s="3">
        <f t="shared" si="23"/>
        <v>2</v>
      </c>
      <c r="Q186" t="str">
        <f t="shared" si="18"/>
        <v>NA</v>
      </c>
      <c r="R186" t="str">
        <f t="shared" si="19"/>
        <v>NA</v>
      </c>
      <c r="S186" t="str">
        <f t="shared" si="20"/>
        <v>NA</v>
      </c>
      <c r="T186" t="str">
        <f t="shared" si="21"/>
        <v>NA</v>
      </c>
      <c r="U186">
        <f t="shared" si="22"/>
        <v>0</v>
      </c>
    </row>
    <row r="187" spans="1:21">
      <c r="A187">
        <v>107</v>
      </c>
      <c r="B187" s="1">
        <v>45089</v>
      </c>
      <c r="C187" t="s">
        <v>50</v>
      </c>
      <c r="D187" t="s">
        <v>51</v>
      </c>
      <c r="E187" t="s">
        <v>65</v>
      </c>
      <c r="F187" s="1">
        <v>45089</v>
      </c>
      <c r="G187" t="s">
        <v>50</v>
      </c>
      <c r="H187" t="s">
        <v>51</v>
      </c>
      <c r="I187" t="s">
        <v>65</v>
      </c>
      <c r="J187" t="s">
        <v>22</v>
      </c>
      <c r="K187">
        <v>100</v>
      </c>
      <c r="L187" t="s">
        <v>22</v>
      </c>
      <c r="M187" t="s">
        <v>22</v>
      </c>
      <c r="N187" t="s">
        <v>22</v>
      </c>
      <c r="O187" t="s">
        <v>22</v>
      </c>
      <c r="P187" s="3">
        <f t="shared" si="23"/>
        <v>1</v>
      </c>
      <c r="Q187" t="str">
        <f t="shared" si="18"/>
        <v>NA</v>
      </c>
      <c r="R187" t="str">
        <f t="shared" si="19"/>
        <v>NA</v>
      </c>
      <c r="S187" t="str">
        <f t="shared" si="20"/>
        <v>NA</v>
      </c>
      <c r="T187" t="str">
        <f t="shared" si="21"/>
        <v>NA</v>
      </c>
      <c r="U187">
        <f t="shared" si="22"/>
        <v>0</v>
      </c>
    </row>
    <row r="188" spans="1:21">
      <c r="A188">
        <v>108</v>
      </c>
      <c r="B188" s="1">
        <v>45089</v>
      </c>
      <c r="C188" t="s">
        <v>53</v>
      </c>
      <c r="D188" t="s">
        <v>54</v>
      </c>
      <c r="E188" t="s">
        <v>65</v>
      </c>
      <c r="F188" s="1">
        <v>45089</v>
      </c>
      <c r="G188" t="s">
        <v>53</v>
      </c>
      <c r="H188" t="s">
        <v>54</v>
      </c>
      <c r="I188" t="s">
        <v>65</v>
      </c>
      <c r="J188" t="s">
        <v>22</v>
      </c>
      <c r="K188">
        <v>100</v>
      </c>
      <c r="L188" t="s">
        <v>22</v>
      </c>
      <c r="M188" t="s">
        <v>22</v>
      </c>
      <c r="N188" t="s">
        <v>22</v>
      </c>
      <c r="O188" t="s">
        <v>22</v>
      </c>
      <c r="P188" s="3">
        <f t="shared" si="23"/>
        <v>1</v>
      </c>
      <c r="Q188" t="str">
        <f t="shared" si="18"/>
        <v>NA</v>
      </c>
      <c r="R188" t="str">
        <f t="shared" si="19"/>
        <v>NA</v>
      </c>
      <c r="S188" t="str">
        <f t="shared" si="20"/>
        <v>NA</v>
      </c>
      <c r="T188" t="str">
        <f t="shared" si="21"/>
        <v>NA</v>
      </c>
      <c r="U188">
        <f t="shared" si="22"/>
        <v>0</v>
      </c>
    </row>
    <row r="189" spans="1:21">
      <c r="A189">
        <v>109</v>
      </c>
      <c r="B189" s="1">
        <v>45089</v>
      </c>
      <c r="C189" t="s">
        <v>56</v>
      </c>
      <c r="D189" t="s">
        <v>57</v>
      </c>
      <c r="E189" t="s">
        <v>65</v>
      </c>
      <c r="F189" s="1">
        <v>45089</v>
      </c>
      <c r="G189" t="s">
        <v>56</v>
      </c>
      <c r="H189" t="s">
        <v>57</v>
      </c>
      <c r="I189" t="s">
        <v>65</v>
      </c>
      <c r="J189" t="s">
        <v>22</v>
      </c>
      <c r="K189">
        <v>100</v>
      </c>
      <c r="L189" t="s">
        <v>22</v>
      </c>
      <c r="M189" t="s">
        <v>22</v>
      </c>
      <c r="N189" t="s">
        <v>22</v>
      </c>
      <c r="O189" t="s">
        <v>22</v>
      </c>
      <c r="P189" s="3">
        <f t="shared" si="23"/>
        <v>1</v>
      </c>
      <c r="Q189" t="str">
        <f t="shared" si="18"/>
        <v>NA</v>
      </c>
      <c r="R189" t="str">
        <f t="shared" si="19"/>
        <v>NA</v>
      </c>
      <c r="S189" t="str">
        <f t="shared" si="20"/>
        <v>NA</v>
      </c>
      <c r="T189" t="str">
        <f t="shared" si="21"/>
        <v>NA</v>
      </c>
      <c r="U189">
        <f t="shared" si="22"/>
        <v>0</v>
      </c>
    </row>
    <row r="190" spans="1:21">
      <c r="A190">
        <v>110</v>
      </c>
      <c r="B190" s="1">
        <v>45089</v>
      </c>
      <c r="C190" t="s">
        <v>59</v>
      </c>
      <c r="D190" t="s">
        <v>60</v>
      </c>
      <c r="E190" t="s">
        <v>15</v>
      </c>
      <c r="F190" s="1">
        <v>45089</v>
      </c>
      <c r="G190" t="s">
        <v>59</v>
      </c>
      <c r="H190" t="s">
        <v>60</v>
      </c>
      <c r="I190" t="s">
        <v>15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s="3">
        <f t="shared" si="23"/>
        <v>0</v>
      </c>
      <c r="Q190" t="str">
        <f t="shared" si="18"/>
        <v>NA</v>
      </c>
      <c r="R190" t="str">
        <f t="shared" si="19"/>
        <v>NA</v>
      </c>
      <c r="S190" t="str">
        <f t="shared" si="20"/>
        <v>NA</v>
      </c>
      <c r="T190" t="str">
        <f t="shared" si="21"/>
        <v>NA</v>
      </c>
      <c r="U190">
        <f t="shared" si="22"/>
        <v>0</v>
      </c>
    </row>
    <row r="191" spans="1:21">
      <c r="A191">
        <v>111</v>
      </c>
      <c r="B191" s="1">
        <v>45089</v>
      </c>
      <c r="C191" t="s">
        <v>61</v>
      </c>
      <c r="D191" t="s">
        <v>62</v>
      </c>
      <c r="E191" t="s">
        <v>15</v>
      </c>
      <c r="F191" s="1">
        <v>45089</v>
      </c>
      <c r="G191" t="s">
        <v>61</v>
      </c>
      <c r="H191" t="s">
        <v>62</v>
      </c>
      <c r="I191" t="s">
        <v>15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s="3">
        <f t="shared" si="23"/>
        <v>0</v>
      </c>
      <c r="Q191" t="str">
        <f t="shared" si="18"/>
        <v>NA</v>
      </c>
      <c r="R191" t="str">
        <f t="shared" si="19"/>
        <v>NA</v>
      </c>
      <c r="S191" t="str">
        <f t="shared" si="20"/>
        <v>NA</v>
      </c>
      <c r="T191" t="str">
        <f t="shared" si="21"/>
        <v>NA</v>
      </c>
      <c r="U191">
        <f t="shared" si="22"/>
        <v>0</v>
      </c>
    </row>
    <row r="192" spans="1:21">
      <c r="A192">
        <v>112</v>
      </c>
      <c r="B192" s="1">
        <v>45089</v>
      </c>
      <c r="C192" t="s">
        <v>63</v>
      </c>
      <c r="D192" t="s">
        <v>64</v>
      </c>
      <c r="E192" t="s">
        <v>15</v>
      </c>
      <c r="F192" s="1">
        <v>45089</v>
      </c>
      <c r="G192" t="s">
        <v>63</v>
      </c>
      <c r="H192" t="s">
        <v>64</v>
      </c>
      <c r="I192" t="s">
        <v>15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s="3">
        <f t="shared" si="23"/>
        <v>0</v>
      </c>
      <c r="Q192" t="str">
        <f t="shared" si="18"/>
        <v>NA</v>
      </c>
      <c r="R192" t="str">
        <f t="shared" si="19"/>
        <v>NA</v>
      </c>
      <c r="S192" t="str">
        <f t="shared" si="20"/>
        <v>NA</v>
      </c>
      <c r="T192" t="str">
        <f t="shared" si="21"/>
        <v>NA</v>
      </c>
      <c r="U192">
        <f t="shared" si="22"/>
        <v>0</v>
      </c>
    </row>
    <row r="193" spans="1:21">
      <c r="A193">
        <v>113</v>
      </c>
      <c r="B193" s="1">
        <v>45089</v>
      </c>
      <c r="C193" t="s">
        <v>66</v>
      </c>
      <c r="D193" t="s">
        <v>67</v>
      </c>
      <c r="E193" t="s">
        <v>65</v>
      </c>
      <c r="F193" s="1">
        <v>45089</v>
      </c>
      <c r="G193" t="s">
        <v>66</v>
      </c>
      <c r="H193" t="s">
        <v>67</v>
      </c>
      <c r="I193" t="s">
        <v>65</v>
      </c>
      <c r="J193" t="s">
        <v>22</v>
      </c>
      <c r="K193">
        <v>100</v>
      </c>
      <c r="L193" t="s">
        <v>22</v>
      </c>
      <c r="M193" t="s">
        <v>22</v>
      </c>
      <c r="N193" t="s">
        <v>22</v>
      </c>
      <c r="O193" t="s">
        <v>22</v>
      </c>
      <c r="P193" s="3">
        <f t="shared" si="23"/>
        <v>1</v>
      </c>
      <c r="Q193" t="str">
        <f t="shared" si="18"/>
        <v>NA</v>
      </c>
      <c r="R193" t="str">
        <f t="shared" si="19"/>
        <v>NA</v>
      </c>
      <c r="S193" t="str">
        <f t="shared" si="20"/>
        <v>NA</v>
      </c>
      <c r="T193" t="str">
        <f t="shared" si="21"/>
        <v>NA</v>
      </c>
      <c r="U193">
        <f t="shared" si="22"/>
        <v>0</v>
      </c>
    </row>
    <row r="194" spans="1:21">
      <c r="A194">
        <v>114</v>
      </c>
      <c r="B194" s="1">
        <v>45089</v>
      </c>
      <c r="C194" t="s">
        <v>68</v>
      </c>
      <c r="D194" t="s">
        <v>69</v>
      </c>
      <c r="E194" t="s">
        <v>15</v>
      </c>
      <c r="F194" s="1">
        <v>45089</v>
      </c>
      <c r="G194" t="s">
        <v>68</v>
      </c>
      <c r="H194" t="s">
        <v>69</v>
      </c>
      <c r="I194" t="s">
        <v>15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s="3">
        <f t="shared" si="23"/>
        <v>0</v>
      </c>
      <c r="Q194" t="str">
        <f t="shared" si="18"/>
        <v>NA</v>
      </c>
      <c r="R194" t="str">
        <f t="shared" si="19"/>
        <v>NA</v>
      </c>
      <c r="S194" t="str">
        <f t="shared" si="20"/>
        <v>NA</v>
      </c>
      <c r="T194" t="str">
        <f t="shared" si="21"/>
        <v>NA</v>
      </c>
      <c r="U194">
        <f t="shared" si="22"/>
        <v>0</v>
      </c>
    </row>
    <row r="195" spans="1:21">
      <c r="A195">
        <v>115</v>
      </c>
      <c r="B195" s="1">
        <v>45089</v>
      </c>
      <c r="C195" t="s">
        <v>70</v>
      </c>
      <c r="D195" t="s">
        <v>71</v>
      </c>
      <c r="E195" t="s">
        <v>15</v>
      </c>
      <c r="F195" s="1">
        <v>45089</v>
      </c>
      <c r="G195" t="s">
        <v>70</v>
      </c>
      <c r="H195" t="s">
        <v>71</v>
      </c>
      <c r="I195" t="s">
        <v>15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s="3">
        <f t="shared" si="23"/>
        <v>0</v>
      </c>
      <c r="Q195" t="str">
        <f t="shared" si="18"/>
        <v>NA</v>
      </c>
      <c r="R195" t="str">
        <f t="shared" si="19"/>
        <v>NA</v>
      </c>
      <c r="S195" t="str">
        <f t="shared" si="20"/>
        <v>NA</v>
      </c>
      <c r="T195" t="str">
        <f t="shared" si="21"/>
        <v>NA</v>
      </c>
      <c r="U195">
        <f t="shared" si="22"/>
        <v>0</v>
      </c>
    </row>
    <row r="196" spans="1:21">
      <c r="A196">
        <v>116</v>
      </c>
      <c r="B196" s="1">
        <v>45089</v>
      </c>
      <c r="C196" t="s">
        <v>72</v>
      </c>
      <c r="D196" t="s">
        <v>73</v>
      </c>
      <c r="E196" t="s">
        <v>15</v>
      </c>
      <c r="F196" s="1">
        <v>45089</v>
      </c>
      <c r="G196" t="s">
        <v>72</v>
      </c>
      <c r="H196" t="s">
        <v>73</v>
      </c>
      <c r="I196" t="s">
        <v>15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s="3">
        <f t="shared" si="23"/>
        <v>0</v>
      </c>
      <c r="Q196" t="str">
        <f t="shared" ref="Q196:Q259" si="24">IF(NOT(J196="NA"),1,"NA")</f>
        <v>NA</v>
      </c>
      <c r="R196" t="str">
        <f t="shared" ref="R196:R259" si="25">IF(NOT(L196="NA"),1,"NA")</f>
        <v>NA</v>
      </c>
      <c r="S196" t="str">
        <f t="shared" ref="S196:S259" si="26">IF(NOT(N196="NA"),1,"NA")</f>
        <v>NA</v>
      </c>
      <c r="T196" t="str">
        <f t="shared" ref="T196:T259" si="27">IF(NOT(O196="NA"),1,"NA")</f>
        <v>NA</v>
      </c>
      <c r="U196">
        <f t="shared" ref="U196:U259" si="28">SUM(Q196:T196)</f>
        <v>0</v>
      </c>
    </row>
    <row r="197" spans="1:21">
      <c r="A197">
        <v>117</v>
      </c>
      <c r="B197" s="1">
        <v>45089</v>
      </c>
      <c r="C197" t="s">
        <v>74</v>
      </c>
      <c r="D197" t="s">
        <v>75</v>
      </c>
      <c r="E197" t="s">
        <v>22</v>
      </c>
      <c r="F197" s="1">
        <v>45089</v>
      </c>
      <c r="G197" t="s">
        <v>74</v>
      </c>
      <c r="H197" t="s">
        <v>75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s="3">
        <f t="shared" ref="P197:P260" si="29">COUNTA(J197:O197)-COUNTIF(J197:O197,"NA")</f>
        <v>0</v>
      </c>
      <c r="Q197" t="str">
        <f t="shared" si="24"/>
        <v>NA</v>
      </c>
      <c r="R197" t="str">
        <f t="shared" si="25"/>
        <v>NA</v>
      </c>
      <c r="S197" t="str">
        <f t="shared" si="26"/>
        <v>NA</v>
      </c>
      <c r="T197" t="str">
        <f t="shared" si="27"/>
        <v>NA</v>
      </c>
      <c r="U197">
        <f t="shared" si="28"/>
        <v>0</v>
      </c>
    </row>
    <row r="198" spans="1:21">
      <c r="A198">
        <v>118</v>
      </c>
      <c r="B198" s="1">
        <v>45089</v>
      </c>
      <c r="C198" t="s">
        <v>77</v>
      </c>
      <c r="D198" t="s">
        <v>78</v>
      </c>
      <c r="E198" t="s">
        <v>15</v>
      </c>
      <c r="F198" s="1">
        <v>45089</v>
      </c>
      <c r="G198" t="s">
        <v>77</v>
      </c>
      <c r="H198" t="s">
        <v>78</v>
      </c>
      <c r="I198" t="s">
        <v>15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s="3">
        <f t="shared" si="29"/>
        <v>0</v>
      </c>
      <c r="Q198" t="str">
        <f t="shared" si="24"/>
        <v>NA</v>
      </c>
      <c r="R198" t="str">
        <f t="shared" si="25"/>
        <v>NA</v>
      </c>
      <c r="S198" t="str">
        <f t="shared" si="26"/>
        <v>NA</v>
      </c>
      <c r="T198" t="str">
        <f t="shared" si="27"/>
        <v>NA</v>
      </c>
      <c r="U198">
        <f t="shared" si="28"/>
        <v>0</v>
      </c>
    </row>
    <row r="199" spans="1:21">
      <c r="A199">
        <v>119</v>
      </c>
      <c r="B199" s="1">
        <v>45089</v>
      </c>
      <c r="C199" t="s">
        <v>79</v>
      </c>
      <c r="D199" t="s">
        <v>80</v>
      </c>
      <c r="E199" t="s">
        <v>15</v>
      </c>
      <c r="F199" s="1">
        <v>45089</v>
      </c>
      <c r="G199" t="s">
        <v>79</v>
      </c>
      <c r="H199" t="s">
        <v>80</v>
      </c>
      <c r="I199" t="s">
        <v>15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s="3">
        <f t="shared" si="29"/>
        <v>0</v>
      </c>
      <c r="Q199" t="str">
        <f t="shared" si="24"/>
        <v>NA</v>
      </c>
      <c r="R199" t="str">
        <f t="shared" si="25"/>
        <v>NA</v>
      </c>
      <c r="S199" t="str">
        <f t="shared" si="26"/>
        <v>NA</v>
      </c>
      <c r="T199" t="str">
        <f t="shared" si="27"/>
        <v>NA</v>
      </c>
      <c r="U199">
        <f t="shared" si="28"/>
        <v>0</v>
      </c>
    </row>
    <row r="200" spans="1:21">
      <c r="A200">
        <v>120</v>
      </c>
      <c r="B200" s="1">
        <v>45089</v>
      </c>
      <c r="C200" t="s">
        <v>81</v>
      </c>
      <c r="D200" t="s">
        <v>82</v>
      </c>
      <c r="E200" t="s">
        <v>22</v>
      </c>
      <c r="F200" s="1">
        <v>45089</v>
      </c>
      <c r="G200" t="s">
        <v>81</v>
      </c>
      <c r="H200" t="s">
        <v>82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s="3">
        <f t="shared" si="29"/>
        <v>0</v>
      </c>
      <c r="Q200" t="str">
        <f t="shared" si="24"/>
        <v>NA</v>
      </c>
      <c r="R200" t="str">
        <f t="shared" si="25"/>
        <v>NA</v>
      </c>
      <c r="S200" t="str">
        <f t="shared" si="26"/>
        <v>NA</v>
      </c>
      <c r="T200" t="str">
        <f t="shared" si="27"/>
        <v>NA</v>
      </c>
      <c r="U200">
        <f t="shared" si="28"/>
        <v>0</v>
      </c>
    </row>
    <row r="201" spans="1:21">
      <c r="A201">
        <v>121</v>
      </c>
      <c r="B201" s="1">
        <v>45117</v>
      </c>
      <c r="C201" t="s">
        <v>13</v>
      </c>
      <c r="D201" t="s">
        <v>14</v>
      </c>
      <c r="E201" t="s">
        <v>15</v>
      </c>
      <c r="F201" s="1">
        <v>45117</v>
      </c>
      <c r="G201" t="s">
        <v>13</v>
      </c>
      <c r="H201" t="s">
        <v>14</v>
      </c>
      <c r="I201" t="s">
        <v>15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s="3">
        <f t="shared" si="29"/>
        <v>0</v>
      </c>
      <c r="Q201" t="str">
        <f t="shared" si="24"/>
        <v>NA</v>
      </c>
      <c r="R201" t="str">
        <f t="shared" si="25"/>
        <v>NA</v>
      </c>
      <c r="S201" t="str">
        <f t="shared" si="26"/>
        <v>NA</v>
      </c>
      <c r="T201" t="str">
        <f t="shared" si="27"/>
        <v>NA</v>
      </c>
      <c r="U201">
        <f t="shared" si="28"/>
        <v>0</v>
      </c>
    </row>
    <row r="202" spans="1:21">
      <c r="A202">
        <v>123</v>
      </c>
      <c r="B202" s="1">
        <v>45117</v>
      </c>
      <c r="C202" t="s">
        <v>20</v>
      </c>
      <c r="D202" t="s">
        <v>21</v>
      </c>
      <c r="E202" t="s">
        <v>22</v>
      </c>
      <c r="F202" s="1">
        <v>45117</v>
      </c>
      <c r="G202" t="s">
        <v>20</v>
      </c>
      <c r="H202" t="s">
        <v>21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s="3">
        <f t="shared" si="29"/>
        <v>0</v>
      </c>
      <c r="Q202" t="str">
        <f t="shared" si="24"/>
        <v>NA</v>
      </c>
      <c r="R202" t="str">
        <f t="shared" si="25"/>
        <v>NA</v>
      </c>
      <c r="S202" t="str">
        <f t="shared" si="26"/>
        <v>NA</v>
      </c>
      <c r="T202" t="str">
        <f t="shared" si="27"/>
        <v>NA</v>
      </c>
      <c r="U202">
        <f t="shared" si="28"/>
        <v>0</v>
      </c>
    </row>
    <row r="203" spans="1:21">
      <c r="A203">
        <v>125</v>
      </c>
      <c r="B203" s="1">
        <v>45117</v>
      </c>
      <c r="C203" t="s">
        <v>25</v>
      </c>
      <c r="D203" t="s">
        <v>26</v>
      </c>
      <c r="E203" t="s">
        <v>15</v>
      </c>
      <c r="F203" s="1">
        <v>45117</v>
      </c>
      <c r="G203" t="s">
        <v>25</v>
      </c>
      <c r="H203" t="s">
        <v>26</v>
      </c>
      <c r="I203" t="s">
        <v>15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s="3">
        <f t="shared" si="29"/>
        <v>0</v>
      </c>
      <c r="Q203" t="str">
        <f t="shared" si="24"/>
        <v>NA</v>
      </c>
      <c r="R203" t="str">
        <f t="shared" si="25"/>
        <v>NA</v>
      </c>
      <c r="S203" t="str">
        <f t="shared" si="26"/>
        <v>NA</v>
      </c>
      <c r="T203" t="str">
        <f t="shared" si="27"/>
        <v>NA</v>
      </c>
      <c r="U203">
        <f t="shared" si="28"/>
        <v>0</v>
      </c>
    </row>
    <row r="204" spans="1:21">
      <c r="A204">
        <v>126</v>
      </c>
      <c r="B204" s="1">
        <v>45117</v>
      </c>
      <c r="C204" t="s">
        <v>27</v>
      </c>
      <c r="D204" t="s">
        <v>28</v>
      </c>
      <c r="E204" t="s">
        <v>15</v>
      </c>
      <c r="F204" s="1">
        <v>45117</v>
      </c>
      <c r="G204" t="s">
        <v>27</v>
      </c>
      <c r="H204" t="s">
        <v>28</v>
      </c>
      <c r="I204" t="s">
        <v>15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s="3">
        <f t="shared" si="29"/>
        <v>0</v>
      </c>
      <c r="Q204" t="str">
        <f t="shared" si="24"/>
        <v>NA</v>
      </c>
      <c r="R204" t="str">
        <f t="shared" si="25"/>
        <v>NA</v>
      </c>
      <c r="S204" t="str">
        <f t="shared" si="26"/>
        <v>NA</v>
      </c>
      <c r="T204" t="str">
        <f t="shared" si="27"/>
        <v>NA</v>
      </c>
      <c r="U204">
        <f t="shared" si="28"/>
        <v>0</v>
      </c>
    </row>
    <row r="205" spans="1:21">
      <c r="A205">
        <v>127</v>
      </c>
      <c r="B205" s="1">
        <v>45117</v>
      </c>
      <c r="C205" t="s">
        <v>29</v>
      </c>
      <c r="D205" t="s">
        <v>30</v>
      </c>
      <c r="E205" t="s">
        <v>22</v>
      </c>
      <c r="F205" s="1">
        <v>45117</v>
      </c>
      <c r="G205" t="s">
        <v>29</v>
      </c>
      <c r="H205" t="s">
        <v>30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s="3">
        <f t="shared" si="29"/>
        <v>0</v>
      </c>
      <c r="Q205" t="str">
        <f t="shared" si="24"/>
        <v>NA</v>
      </c>
      <c r="R205" t="str">
        <f t="shared" si="25"/>
        <v>NA</v>
      </c>
      <c r="S205" t="str">
        <f t="shared" si="26"/>
        <v>NA</v>
      </c>
      <c r="T205" t="str">
        <f t="shared" si="27"/>
        <v>NA</v>
      </c>
      <c r="U205">
        <f t="shared" si="28"/>
        <v>0</v>
      </c>
    </row>
    <row r="206" spans="1:21">
      <c r="A206">
        <v>129</v>
      </c>
      <c r="B206" s="1">
        <v>45117</v>
      </c>
      <c r="C206" t="s">
        <v>33</v>
      </c>
      <c r="D206" t="s">
        <v>34</v>
      </c>
      <c r="E206" t="s">
        <v>15</v>
      </c>
      <c r="F206" s="1">
        <v>45117</v>
      </c>
      <c r="G206" t="s">
        <v>33</v>
      </c>
      <c r="H206" t="s">
        <v>34</v>
      </c>
      <c r="I206" t="s">
        <v>15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s="3">
        <f t="shared" si="29"/>
        <v>0</v>
      </c>
      <c r="Q206" t="str">
        <f t="shared" si="24"/>
        <v>NA</v>
      </c>
      <c r="R206" t="str">
        <f t="shared" si="25"/>
        <v>NA</v>
      </c>
      <c r="S206" t="str">
        <f t="shared" si="26"/>
        <v>NA</v>
      </c>
      <c r="T206" t="str">
        <f t="shared" si="27"/>
        <v>NA</v>
      </c>
      <c r="U206">
        <f t="shared" si="28"/>
        <v>0</v>
      </c>
    </row>
    <row r="207" spans="1:21">
      <c r="A207">
        <v>130</v>
      </c>
      <c r="B207" s="1">
        <v>45117</v>
      </c>
      <c r="C207" t="s">
        <v>35</v>
      </c>
      <c r="D207" t="s">
        <v>36</v>
      </c>
      <c r="E207">
        <v>0</v>
      </c>
      <c r="F207" s="1">
        <v>45117</v>
      </c>
      <c r="G207" t="s">
        <v>35</v>
      </c>
      <c r="H207" t="s">
        <v>36</v>
      </c>
      <c r="I207">
        <v>0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s="3">
        <f t="shared" si="29"/>
        <v>0</v>
      </c>
      <c r="Q207" t="str">
        <f t="shared" si="24"/>
        <v>NA</v>
      </c>
      <c r="R207" t="str">
        <f t="shared" si="25"/>
        <v>NA</v>
      </c>
      <c r="S207" t="str">
        <f t="shared" si="26"/>
        <v>NA</v>
      </c>
      <c r="T207" t="str">
        <f t="shared" si="27"/>
        <v>NA</v>
      </c>
      <c r="U207">
        <f t="shared" si="28"/>
        <v>0</v>
      </c>
    </row>
    <row r="208" spans="1:21">
      <c r="A208">
        <v>131</v>
      </c>
      <c r="B208" s="1">
        <v>45117</v>
      </c>
      <c r="C208" t="s">
        <v>37</v>
      </c>
      <c r="D208" t="s">
        <v>38</v>
      </c>
      <c r="E208" t="s">
        <v>22</v>
      </c>
      <c r="F208" s="1">
        <v>45117</v>
      </c>
      <c r="G208" t="s">
        <v>37</v>
      </c>
      <c r="H208" t="s">
        <v>38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s="3">
        <f t="shared" si="29"/>
        <v>0</v>
      </c>
      <c r="Q208" t="str">
        <f t="shared" si="24"/>
        <v>NA</v>
      </c>
      <c r="R208" t="str">
        <f t="shared" si="25"/>
        <v>NA</v>
      </c>
      <c r="S208" t="str">
        <f t="shared" si="26"/>
        <v>NA</v>
      </c>
      <c r="T208" t="str">
        <f t="shared" si="27"/>
        <v>NA</v>
      </c>
      <c r="U208">
        <f t="shared" si="28"/>
        <v>0</v>
      </c>
    </row>
    <row r="209" spans="1:21">
      <c r="A209">
        <v>132</v>
      </c>
      <c r="B209" s="1">
        <v>45117</v>
      </c>
      <c r="C209" t="s">
        <v>39</v>
      </c>
      <c r="D209" t="s">
        <v>40</v>
      </c>
      <c r="E209" t="s">
        <v>15</v>
      </c>
      <c r="F209" s="1">
        <v>45117</v>
      </c>
      <c r="G209" t="s">
        <v>39</v>
      </c>
      <c r="H209" t="s">
        <v>40</v>
      </c>
      <c r="I209" t="s">
        <v>15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s="3">
        <f t="shared" si="29"/>
        <v>0</v>
      </c>
      <c r="Q209" t="str">
        <f t="shared" si="24"/>
        <v>NA</v>
      </c>
      <c r="R209" t="str">
        <f t="shared" si="25"/>
        <v>NA</v>
      </c>
      <c r="S209" t="str">
        <f t="shared" si="26"/>
        <v>NA</v>
      </c>
      <c r="T209" t="str">
        <f t="shared" si="27"/>
        <v>NA</v>
      </c>
      <c r="U209">
        <f t="shared" si="28"/>
        <v>0</v>
      </c>
    </row>
    <row r="210" spans="1:21">
      <c r="A210">
        <v>133</v>
      </c>
      <c r="B210" s="1">
        <v>45117</v>
      </c>
      <c r="C210" t="s">
        <v>41</v>
      </c>
      <c r="D210" t="s">
        <v>42</v>
      </c>
      <c r="E210" t="s">
        <v>15</v>
      </c>
      <c r="F210" s="1">
        <v>45117</v>
      </c>
      <c r="G210" t="s">
        <v>41</v>
      </c>
      <c r="H210" t="s">
        <v>42</v>
      </c>
      <c r="I210" t="s">
        <v>15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s="3">
        <f t="shared" si="29"/>
        <v>0</v>
      </c>
      <c r="Q210" t="str">
        <f t="shared" si="24"/>
        <v>NA</v>
      </c>
      <c r="R210" t="str">
        <f t="shared" si="25"/>
        <v>NA</v>
      </c>
      <c r="S210" t="str">
        <f t="shared" si="26"/>
        <v>NA</v>
      </c>
      <c r="T210" t="str">
        <f t="shared" si="27"/>
        <v>NA</v>
      </c>
      <c r="U210">
        <f t="shared" si="28"/>
        <v>0</v>
      </c>
    </row>
    <row r="211" spans="1:21">
      <c r="A211">
        <v>134</v>
      </c>
      <c r="B211" s="1">
        <v>45117</v>
      </c>
      <c r="C211" t="s">
        <v>43</v>
      </c>
      <c r="D211" t="s">
        <v>44</v>
      </c>
      <c r="E211" t="s">
        <v>92</v>
      </c>
      <c r="F211" s="1">
        <v>45117</v>
      </c>
      <c r="G211" t="s">
        <v>43</v>
      </c>
      <c r="H211" t="s">
        <v>44</v>
      </c>
      <c r="I211" t="s">
        <v>92</v>
      </c>
      <c r="J211" t="s">
        <v>22</v>
      </c>
      <c r="K211">
        <v>75</v>
      </c>
      <c r="L211" t="s">
        <v>22</v>
      </c>
      <c r="M211">
        <v>25</v>
      </c>
      <c r="N211" t="s">
        <v>22</v>
      </c>
      <c r="O211" t="s">
        <v>22</v>
      </c>
      <c r="P211" s="3">
        <f t="shared" si="29"/>
        <v>2</v>
      </c>
      <c r="Q211" t="str">
        <f t="shared" si="24"/>
        <v>NA</v>
      </c>
      <c r="R211" t="str">
        <f t="shared" si="25"/>
        <v>NA</v>
      </c>
      <c r="S211" t="str">
        <f t="shared" si="26"/>
        <v>NA</v>
      </c>
      <c r="T211" t="str">
        <f t="shared" si="27"/>
        <v>NA</v>
      </c>
      <c r="U211">
        <f t="shared" si="28"/>
        <v>0</v>
      </c>
    </row>
    <row r="212" spans="1:21">
      <c r="A212">
        <v>137</v>
      </c>
      <c r="B212" s="1">
        <v>45117</v>
      </c>
      <c r="C212" t="s">
        <v>50</v>
      </c>
      <c r="D212" t="s">
        <v>51</v>
      </c>
      <c r="E212" t="s">
        <v>65</v>
      </c>
      <c r="F212" s="1">
        <v>45117</v>
      </c>
      <c r="G212" t="s">
        <v>50</v>
      </c>
      <c r="H212" t="s">
        <v>51</v>
      </c>
      <c r="I212" t="s">
        <v>65</v>
      </c>
      <c r="J212" t="s">
        <v>22</v>
      </c>
      <c r="K212">
        <v>100</v>
      </c>
      <c r="L212" t="s">
        <v>22</v>
      </c>
      <c r="M212" t="s">
        <v>22</v>
      </c>
      <c r="N212" t="s">
        <v>22</v>
      </c>
      <c r="O212" t="s">
        <v>22</v>
      </c>
      <c r="P212" s="3">
        <f t="shared" si="29"/>
        <v>1</v>
      </c>
      <c r="Q212" t="str">
        <f t="shared" si="24"/>
        <v>NA</v>
      </c>
      <c r="R212" t="str">
        <f t="shared" si="25"/>
        <v>NA</v>
      </c>
      <c r="S212" t="str">
        <f t="shared" si="26"/>
        <v>NA</v>
      </c>
      <c r="T212" t="str">
        <f t="shared" si="27"/>
        <v>NA</v>
      </c>
      <c r="U212">
        <f t="shared" si="28"/>
        <v>0</v>
      </c>
    </row>
    <row r="213" spans="1:21">
      <c r="A213">
        <v>141</v>
      </c>
      <c r="B213" s="1">
        <v>45117</v>
      </c>
      <c r="C213" t="s">
        <v>61</v>
      </c>
      <c r="D213" t="s">
        <v>62</v>
      </c>
      <c r="E213" t="s">
        <v>22</v>
      </c>
      <c r="F213" s="1">
        <v>45117</v>
      </c>
      <c r="G213" t="s">
        <v>61</v>
      </c>
      <c r="H213" t="s">
        <v>62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s="3">
        <f t="shared" si="29"/>
        <v>0</v>
      </c>
      <c r="Q213" t="str">
        <f t="shared" si="24"/>
        <v>NA</v>
      </c>
      <c r="R213" t="str">
        <f t="shared" si="25"/>
        <v>NA</v>
      </c>
      <c r="S213" t="str">
        <f t="shared" si="26"/>
        <v>NA</v>
      </c>
      <c r="T213" t="str">
        <f t="shared" si="27"/>
        <v>NA</v>
      </c>
      <c r="U213">
        <f t="shared" si="28"/>
        <v>0</v>
      </c>
    </row>
    <row r="214" spans="1:21">
      <c r="A214">
        <v>142</v>
      </c>
      <c r="B214" s="1">
        <v>45117</v>
      </c>
      <c r="C214" t="s">
        <v>63</v>
      </c>
      <c r="D214" t="s">
        <v>64</v>
      </c>
      <c r="E214" t="s">
        <v>15</v>
      </c>
      <c r="F214" s="1">
        <v>45117</v>
      </c>
      <c r="G214" t="s">
        <v>63</v>
      </c>
      <c r="H214" t="s">
        <v>64</v>
      </c>
      <c r="I214" t="s">
        <v>15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s="3">
        <f t="shared" si="29"/>
        <v>0</v>
      </c>
      <c r="Q214" t="str">
        <f t="shared" si="24"/>
        <v>NA</v>
      </c>
      <c r="R214" t="str">
        <f t="shared" si="25"/>
        <v>NA</v>
      </c>
      <c r="S214" t="str">
        <f t="shared" si="26"/>
        <v>NA</v>
      </c>
      <c r="T214" t="str">
        <f t="shared" si="27"/>
        <v>NA</v>
      </c>
      <c r="U214">
        <f t="shared" si="28"/>
        <v>0</v>
      </c>
    </row>
    <row r="215" spans="1:21">
      <c r="A215">
        <v>143</v>
      </c>
      <c r="B215" s="1">
        <v>45117</v>
      </c>
      <c r="C215" t="s">
        <v>66</v>
      </c>
      <c r="D215" t="s">
        <v>67</v>
      </c>
      <c r="E215" t="s">
        <v>103</v>
      </c>
      <c r="F215" s="1">
        <v>45117</v>
      </c>
      <c r="G215" t="s">
        <v>66</v>
      </c>
      <c r="H215" t="s">
        <v>67</v>
      </c>
      <c r="I215" t="s">
        <v>103</v>
      </c>
      <c r="J215" t="s">
        <v>22</v>
      </c>
      <c r="K215">
        <v>25</v>
      </c>
      <c r="L215" t="s">
        <v>22</v>
      </c>
      <c r="M215">
        <v>75</v>
      </c>
      <c r="N215" t="s">
        <v>22</v>
      </c>
      <c r="O215" t="s">
        <v>22</v>
      </c>
      <c r="P215" s="3">
        <f t="shared" si="29"/>
        <v>2</v>
      </c>
      <c r="Q215" t="str">
        <f t="shared" si="24"/>
        <v>NA</v>
      </c>
      <c r="R215" t="str">
        <f t="shared" si="25"/>
        <v>NA</v>
      </c>
      <c r="S215" t="str">
        <f t="shared" si="26"/>
        <v>NA</v>
      </c>
      <c r="T215" t="str">
        <f t="shared" si="27"/>
        <v>NA</v>
      </c>
      <c r="U215">
        <f t="shared" si="28"/>
        <v>0</v>
      </c>
    </row>
    <row r="216" spans="1:21">
      <c r="A216">
        <v>144</v>
      </c>
      <c r="B216" s="1">
        <v>45117</v>
      </c>
      <c r="C216" t="s">
        <v>68</v>
      </c>
      <c r="D216" t="s">
        <v>69</v>
      </c>
      <c r="E216" t="s">
        <v>58</v>
      </c>
      <c r="F216" s="1">
        <v>45117</v>
      </c>
      <c r="G216" t="s">
        <v>68</v>
      </c>
      <c r="H216" t="s">
        <v>69</v>
      </c>
      <c r="I216" t="s">
        <v>58</v>
      </c>
      <c r="J216" t="s">
        <v>22</v>
      </c>
      <c r="K216" t="s">
        <v>22</v>
      </c>
      <c r="L216" t="s">
        <v>22</v>
      </c>
      <c r="M216">
        <v>100</v>
      </c>
      <c r="N216" t="s">
        <v>22</v>
      </c>
      <c r="O216" t="s">
        <v>22</v>
      </c>
      <c r="P216" s="3">
        <f t="shared" si="29"/>
        <v>1</v>
      </c>
      <c r="Q216" t="str">
        <f t="shared" si="24"/>
        <v>NA</v>
      </c>
      <c r="R216" t="str">
        <f t="shared" si="25"/>
        <v>NA</v>
      </c>
      <c r="S216" t="str">
        <f t="shared" si="26"/>
        <v>NA</v>
      </c>
      <c r="T216" t="str">
        <f t="shared" si="27"/>
        <v>NA</v>
      </c>
      <c r="U216">
        <f t="shared" si="28"/>
        <v>0</v>
      </c>
    </row>
    <row r="217" spans="1:21">
      <c r="A217">
        <v>147</v>
      </c>
      <c r="B217" s="1">
        <v>45117</v>
      </c>
      <c r="C217" t="s">
        <v>74</v>
      </c>
      <c r="D217" t="s">
        <v>75</v>
      </c>
      <c r="E217" t="s">
        <v>22</v>
      </c>
      <c r="F217" s="1">
        <v>45117</v>
      </c>
      <c r="G217" t="s">
        <v>74</v>
      </c>
      <c r="H217" t="s">
        <v>75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s="3">
        <f t="shared" si="29"/>
        <v>0</v>
      </c>
      <c r="Q217" t="str">
        <f t="shared" si="24"/>
        <v>NA</v>
      </c>
      <c r="R217" t="str">
        <f t="shared" si="25"/>
        <v>NA</v>
      </c>
      <c r="S217" t="str">
        <f t="shared" si="26"/>
        <v>NA</v>
      </c>
      <c r="T217" t="str">
        <f t="shared" si="27"/>
        <v>NA</v>
      </c>
      <c r="U217">
        <f t="shared" si="28"/>
        <v>0</v>
      </c>
    </row>
    <row r="218" spans="1:21">
      <c r="A218">
        <v>148</v>
      </c>
      <c r="B218" s="1">
        <v>45117</v>
      </c>
      <c r="C218" t="s">
        <v>77</v>
      </c>
      <c r="D218" t="s">
        <v>78</v>
      </c>
      <c r="E218" t="s">
        <v>22</v>
      </c>
      <c r="F218" s="1">
        <v>45117</v>
      </c>
      <c r="G218" t="s">
        <v>77</v>
      </c>
      <c r="H218" t="s">
        <v>78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  <c r="P218" s="3">
        <f t="shared" si="29"/>
        <v>0</v>
      </c>
      <c r="Q218" t="str">
        <f t="shared" si="24"/>
        <v>NA</v>
      </c>
      <c r="R218" t="str">
        <f t="shared" si="25"/>
        <v>NA</v>
      </c>
      <c r="S218" t="str">
        <f t="shared" si="26"/>
        <v>NA</v>
      </c>
      <c r="T218" t="str">
        <f t="shared" si="27"/>
        <v>NA</v>
      </c>
      <c r="U218">
        <f t="shared" si="28"/>
        <v>0</v>
      </c>
    </row>
    <row r="219" spans="1:21">
      <c r="A219">
        <v>149</v>
      </c>
      <c r="B219" s="1">
        <v>45117</v>
      </c>
      <c r="C219" t="s">
        <v>79</v>
      </c>
      <c r="D219" t="s">
        <v>80</v>
      </c>
      <c r="E219" t="s">
        <v>65</v>
      </c>
      <c r="F219" s="1">
        <v>45117</v>
      </c>
      <c r="G219" t="s">
        <v>79</v>
      </c>
      <c r="H219" t="s">
        <v>80</v>
      </c>
      <c r="I219" t="s">
        <v>65</v>
      </c>
      <c r="J219" t="s">
        <v>22</v>
      </c>
      <c r="K219">
        <v>100</v>
      </c>
      <c r="L219" t="s">
        <v>22</v>
      </c>
      <c r="M219" t="s">
        <v>22</v>
      </c>
      <c r="N219" t="s">
        <v>22</v>
      </c>
      <c r="O219" t="s">
        <v>22</v>
      </c>
      <c r="P219" s="3">
        <f t="shared" si="29"/>
        <v>1</v>
      </c>
      <c r="Q219" t="str">
        <f t="shared" si="24"/>
        <v>NA</v>
      </c>
      <c r="R219" t="str">
        <f t="shared" si="25"/>
        <v>NA</v>
      </c>
      <c r="S219" t="str">
        <f t="shared" si="26"/>
        <v>NA</v>
      </c>
      <c r="T219" t="str">
        <f t="shared" si="27"/>
        <v>NA</v>
      </c>
      <c r="U219">
        <f t="shared" si="28"/>
        <v>0</v>
      </c>
    </row>
    <row r="220" spans="1:21">
      <c r="A220">
        <v>150</v>
      </c>
      <c r="B220" s="1">
        <v>45117</v>
      </c>
      <c r="C220" t="s">
        <v>81</v>
      </c>
      <c r="D220" t="s">
        <v>82</v>
      </c>
      <c r="E220" t="s">
        <v>22</v>
      </c>
      <c r="F220" s="1">
        <v>45117</v>
      </c>
      <c r="G220" t="s">
        <v>81</v>
      </c>
      <c r="H220" t="s">
        <v>82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s="3">
        <f t="shared" si="29"/>
        <v>0</v>
      </c>
      <c r="Q220" t="str">
        <f t="shared" si="24"/>
        <v>NA</v>
      </c>
      <c r="R220" t="str">
        <f t="shared" si="25"/>
        <v>NA</v>
      </c>
      <c r="S220" t="str">
        <f t="shared" si="26"/>
        <v>NA</v>
      </c>
      <c r="T220" t="str">
        <f t="shared" si="27"/>
        <v>NA</v>
      </c>
      <c r="U220">
        <f t="shared" si="28"/>
        <v>0</v>
      </c>
    </row>
    <row r="221" spans="1:21">
      <c r="A221">
        <v>151</v>
      </c>
      <c r="B221" s="1">
        <v>45129</v>
      </c>
      <c r="C221" t="s">
        <v>13</v>
      </c>
      <c r="D221" t="s">
        <v>14</v>
      </c>
      <c r="E221" t="s">
        <v>15</v>
      </c>
      <c r="F221" s="1">
        <v>45129</v>
      </c>
      <c r="G221" t="s">
        <v>13</v>
      </c>
      <c r="H221" t="s">
        <v>14</v>
      </c>
      <c r="I221" t="s">
        <v>15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s="3">
        <f t="shared" si="29"/>
        <v>0</v>
      </c>
      <c r="Q221" t="str">
        <f t="shared" si="24"/>
        <v>NA</v>
      </c>
      <c r="R221" t="str">
        <f t="shared" si="25"/>
        <v>NA</v>
      </c>
      <c r="S221" t="str">
        <f t="shared" si="26"/>
        <v>NA</v>
      </c>
      <c r="T221" t="str">
        <f t="shared" si="27"/>
        <v>NA</v>
      </c>
      <c r="U221">
        <f t="shared" si="28"/>
        <v>0</v>
      </c>
    </row>
    <row r="222" spans="1:21">
      <c r="A222">
        <v>152</v>
      </c>
      <c r="B222" s="1">
        <v>45129</v>
      </c>
      <c r="C222" t="s">
        <v>16</v>
      </c>
      <c r="D222" t="s">
        <v>17</v>
      </c>
      <c r="E222" t="s">
        <v>65</v>
      </c>
      <c r="F222" s="1">
        <v>45129</v>
      </c>
      <c r="G222" t="s">
        <v>16</v>
      </c>
      <c r="H222" t="s">
        <v>17</v>
      </c>
      <c r="I222" t="s">
        <v>65</v>
      </c>
      <c r="J222" t="s">
        <v>22</v>
      </c>
      <c r="K222">
        <v>100</v>
      </c>
      <c r="L222" t="s">
        <v>22</v>
      </c>
      <c r="M222" t="s">
        <v>22</v>
      </c>
      <c r="N222" t="s">
        <v>22</v>
      </c>
      <c r="O222" t="s">
        <v>22</v>
      </c>
      <c r="P222" s="3">
        <f t="shared" si="29"/>
        <v>1</v>
      </c>
      <c r="Q222" t="str">
        <f t="shared" si="24"/>
        <v>NA</v>
      </c>
      <c r="R222" t="str">
        <f t="shared" si="25"/>
        <v>NA</v>
      </c>
      <c r="S222" t="str">
        <f t="shared" si="26"/>
        <v>NA</v>
      </c>
      <c r="T222" t="str">
        <f t="shared" si="27"/>
        <v>NA</v>
      </c>
      <c r="U222">
        <f t="shared" si="28"/>
        <v>0</v>
      </c>
    </row>
    <row r="223" spans="1:21">
      <c r="A223">
        <v>153</v>
      </c>
      <c r="B223" s="1">
        <v>45129</v>
      </c>
      <c r="C223" t="s">
        <v>20</v>
      </c>
      <c r="D223" t="s">
        <v>21</v>
      </c>
      <c r="E223" t="s">
        <v>22</v>
      </c>
      <c r="F223" s="1">
        <v>45129</v>
      </c>
      <c r="G223" t="s">
        <v>20</v>
      </c>
      <c r="H223" t="s">
        <v>21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s="3">
        <f t="shared" si="29"/>
        <v>0</v>
      </c>
      <c r="Q223" t="str">
        <f t="shared" si="24"/>
        <v>NA</v>
      </c>
      <c r="R223" t="str">
        <f t="shared" si="25"/>
        <v>NA</v>
      </c>
      <c r="S223" t="str">
        <f t="shared" si="26"/>
        <v>NA</v>
      </c>
      <c r="T223" t="str">
        <f t="shared" si="27"/>
        <v>NA</v>
      </c>
      <c r="U223">
        <f t="shared" si="28"/>
        <v>0</v>
      </c>
    </row>
    <row r="224" spans="1:21">
      <c r="A224">
        <v>155</v>
      </c>
      <c r="B224" s="1">
        <v>45129</v>
      </c>
      <c r="C224" t="s">
        <v>25</v>
      </c>
      <c r="D224" t="s">
        <v>26</v>
      </c>
      <c r="E224" t="s">
        <v>15</v>
      </c>
      <c r="F224" s="1">
        <v>45129</v>
      </c>
      <c r="G224" t="s">
        <v>25</v>
      </c>
      <c r="H224" t="s">
        <v>26</v>
      </c>
      <c r="I224" t="s">
        <v>15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s="3">
        <f t="shared" si="29"/>
        <v>0</v>
      </c>
      <c r="Q224" t="str">
        <f t="shared" si="24"/>
        <v>NA</v>
      </c>
      <c r="R224" t="str">
        <f t="shared" si="25"/>
        <v>NA</v>
      </c>
      <c r="S224" t="str">
        <f t="shared" si="26"/>
        <v>NA</v>
      </c>
      <c r="T224" t="str">
        <f t="shared" si="27"/>
        <v>NA</v>
      </c>
      <c r="U224">
        <f t="shared" si="28"/>
        <v>0</v>
      </c>
    </row>
    <row r="225" spans="1:21">
      <c r="A225">
        <v>156</v>
      </c>
      <c r="B225" s="1">
        <v>45129</v>
      </c>
      <c r="C225" t="s">
        <v>27</v>
      </c>
      <c r="D225" t="s">
        <v>28</v>
      </c>
      <c r="E225" t="s">
        <v>15</v>
      </c>
      <c r="F225" s="1">
        <v>45129</v>
      </c>
      <c r="G225" t="s">
        <v>27</v>
      </c>
      <c r="H225" t="s">
        <v>28</v>
      </c>
      <c r="I225" t="s">
        <v>15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s="3">
        <f t="shared" si="29"/>
        <v>0</v>
      </c>
      <c r="Q225" t="str">
        <f t="shared" si="24"/>
        <v>NA</v>
      </c>
      <c r="R225" t="str">
        <f t="shared" si="25"/>
        <v>NA</v>
      </c>
      <c r="S225" t="str">
        <f t="shared" si="26"/>
        <v>NA</v>
      </c>
      <c r="T225" t="str">
        <f t="shared" si="27"/>
        <v>NA</v>
      </c>
      <c r="U225">
        <f t="shared" si="28"/>
        <v>0</v>
      </c>
    </row>
    <row r="226" spans="1:21">
      <c r="A226">
        <v>157</v>
      </c>
      <c r="B226" s="1">
        <v>45129</v>
      </c>
      <c r="C226" t="s">
        <v>29</v>
      </c>
      <c r="D226" t="s">
        <v>30</v>
      </c>
      <c r="E226" t="s">
        <v>22</v>
      </c>
      <c r="F226" s="1">
        <v>45129</v>
      </c>
      <c r="G226" t="s">
        <v>29</v>
      </c>
      <c r="H226" t="s">
        <v>30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s="3">
        <f t="shared" si="29"/>
        <v>0</v>
      </c>
      <c r="Q226" t="str">
        <f t="shared" si="24"/>
        <v>NA</v>
      </c>
      <c r="R226" t="str">
        <f t="shared" si="25"/>
        <v>NA</v>
      </c>
      <c r="S226" t="str">
        <f t="shared" si="26"/>
        <v>NA</v>
      </c>
      <c r="T226" t="str">
        <f t="shared" si="27"/>
        <v>NA</v>
      </c>
      <c r="U226">
        <f t="shared" si="28"/>
        <v>0</v>
      </c>
    </row>
    <row r="227" spans="1:21">
      <c r="A227">
        <v>158</v>
      </c>
      <c r="B227" s="1">
        <v>45129</v>
      </c>
      <c r="C227" t="s">
        <v>31</v>
      </c>
      <c r="D227" t="s">
        <v>32</v>
      </c>
      <c r="E227" t="s">
        <v>22</v>
      </c>
      <c r="F227" s="1">
        <v>45129</v>
      </c>
      <c r="G227" t="s">
        <v>31</v>
      </c>
      <c r="H227" t="s">
        <v>32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s="3">
        <f t="shared" si="29"/>
        <v>0</v>
      </c>
      <c r="Q227" t="str">
        <f t="shared" si="24"/>
        <v>NA</v>
      </c>
      <c r="R227" t="str">
        <f t="shared" si="25"/>
        <v>NA</v>
      </c>
      <c r="S227" t="str">
        <f t="shared" si="26"/>
        <v>NA</v>
      </c>
      <c r="T227" t="str">
        <f t="shared" si="27"/>
        <v>NA</v>
      </c>
      <c r="U227">
        <f t="shared" si="28"/>
        <v>0</v>
      </c>
    </row>
    <row r="228" spans="1:21">
      <c r="A228">
        <v>159</v>
      </c>
      <c r="B228" s="1">
        <v>45129</v>
      </c>
      <c r="C228" t="s">
        <v>33</v>
      </c>
      <c r="D228" t="s">
        <v>34</v>
      </c>
      <c r="E228" t="s">
        <v>22</v>
      </c>
      <c r="F228" s="1">
        <v>45129</v>
      </c>
      <c r="G228" t="s">
        <v>33</v>
      </c>
      <c r="H228" t="s">
        <v>34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s="3">
        <f t="shared" si="29"/>
        <v>0</v>
      </c>
      <c r="Q228" t="str">
        <f t="shared" si="24"/>
        <v>NA</v>
      </c>
      <c r="R228" t="str">
        <f t="shared" si="25"/>
        <v>NA</v>
      </c>
      <c r="S228" t="str">
        <f t="shared" si="26"/>
        <v>NA</v>
      </c>
      <c r="T228" t="str">
        <f t="shared" si="27"/>
        <v>NA</v>
      </c>
      <c r="U228">
        <f t="shared" si="28"/>
        <v>0</v>
      </c>
    </row>
    <row r="229" spans="1:21">
      <c r="A229">
        <v>160</v>
      </c>
      <c r="B229" s="1">
        <v>45129</v>
      </c>
      <c r="C229" t="s">
        <v>35</v>
      </c>
      <c r="D229" t="s">
        <v>36</v>
      </c>
      <c r="E229" t="s">
        <v>65</v>
      </c>
      <c r="F229" s="1">
        <v>45129</v>
      </c>
      <c r="G229" t="s">
        <v>35</v>
      </c>
      <c r="H229" t="s">
        <v>36</v>
      </c>
      <c r="I229" t="s">
        <v>65</v>
      </c>
      <c r="J229" t="s">
        <v>22</v>
      </c>
      <c r="K229">
        <v>100</v>
      </c>
      <c r="L229" t="s">
        <v>22</v>
      </c>
      <c r="M229" t="s">
        <v>22</v>
      </c>
      <c r="N229" t="s">
        <v>22</v>
      </c>
      <c r="O229" t="s">
        <v>22</v>
      </c>
      <c r="P229" s="3">
        <f t="shared" si="29"/>
        <v>1</v>
      </c>
      <c r="Q229" t="str">
        <f t="shared" si="24"/>
        <v>NA</v>
      </c>
      <c r="R229" t="str">
        <f t="shared" si="25"/>
        <v>NA</v>
      </c>
      <c r="S229" t="str">
        <f t="shared" si="26"/>
        <v>NA</v>
      </c>
      <c r="T229" t="str">
        <f t="shared" si="27"/>
        <v>NA</v>
      </c>
      <c r="U229">
        <f t="shared" si="28"/>
        <v>0</v>
      </c>
    </row>
    <row r="230" spans="1:21">
      <c r="A230">
        <v>161</v>
      </c>
      <c r="B230" s="1">
        <v>45129</v>
      </c>
      <c r="C230" t="s">
        <v>37</v>
      </c>
      <c r="D230" t="s">
        <v>38</v>
      </c>
      <c r="E230" t="s">
        <v>92</v>
      </c>
      <c r="F230" s="1">
        <v>45129</v>
      </c>
      <c r="G230" t="s">
        <v>37</v>
      </c>
      <c r="H230" t="s">
        <v>38</v>
      </c>
      <c r="I230" t="s">
        <v>92</v>
      </c>
      <c r="J230" t="s">
        <v>22</v>
      </c>
      <c r="K230">
        <v>75</v>
      </c>
      <c r="L230" t="s">
        <v>22</v>
      </c>
      <c r="M230">
        <v>25</v>
      </c>
      <c r="N230" t="s">
        <v>22</v>
      </c>
      <c r="O230" t="s">
        <v>22</v>
      </c>
      <c r="P230" s="3">
        <f t="shared" si="29"/>
        <v>2</v>
      </c>
      <c r="Q230" t="str">
        <f t="shared" si="24"/>
        <v>NA</v>
      </c>
      <c r="R230" t="str">
        <f t="shared" si="25"/>
        <v>NA</v>
      </c>
      <c r="S230" t="str">
        <f t="shared" si="26"/>
        <v>NA</v>
      </c>
      <c r="T230" t="str">
        <f t="shared" si="27"/>
        <v>NA</v>
      </c>
      <c r="U230">
        <f t="shared" si="28"/>
        <v>0</v>
      </c>
    </row>
    <row r="231" spans="1:21">
      <c r="A231">
        <v>162</v>
      </c>
      <c r="B231" s="1">
        <v>45129</v>
      </c>
      <c r="C231" t="s">
        <v>39</v>
      </c>
      <c r="D231" t="s">
        <v>40</v>
      </c>
      <c r="E231" t="s">
        <v>15</v>
      </c>
      <c r="F231" s="1">
        <v>45129</v>
      </c>
      <c r="G231" t="s">
        <v>39</v>
      </c>
      <c r="H231" t="s">
        <v>40</v>
      </c>
      <c r="I231" t="s">
        <v>15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  <c r="P231" s="3">
        <f t="shared" si="29"/>
        <v>0</v>
      </c>
      <c r="Q231" t="str">
        <f t="shared" si="24"/>
        <v>NA</v>
      </c>
      <c r="R231" t="str">
        <f t="shared" si="25"/>
        <v>NA</v>
      </c>
      <c r="S231" t="str">
        <f t="shared" si="26"/>
        <v>NA</v>
      </c>
      <c r="T231" t="str">
        <f t="shared" si="27"/>
        <v>NA</v>
      </c>
      <c r="U231">
        <f t="shared" si="28"/>
        <v>0</v>
      </c>
    </row>
    <row r="232" spans="1:21">
      <c r="A232">
        <v>163</v>
      </c>
      <c r="B232" s="1">
        <v>45129</v>
      </c>
      <c r="C232" t="s">
        <v>41</v>
      </c>
      <c r="D232" t="s">
        <v>42</v>
      </c>
      <c r="E232" t="s">
        <v>22</v>
      </c>
      <c r="F232" s="1">
        <v>45129</v>
      </c>
      <c r="G232" t="s">
        <v>41</v>
      </c>
      <c r="H232" t="s">
        <v>42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s="3">
        <f t="shared" si="29"/>
        <v>0</v>
      </c>
      <c r="Q232" t="str">
        <f t="shared" si="24"/>
        <v>NA</v>
      </c>
      <c r="R232" t="str">
        <f t="shared" si="25"/>
        <v>NA</v>
      </c>
      <c r="S232" t="str">
        <f t="shared" si="26"/>
        <v>NA</v>
      </c>
      <c r="T232" t="str">
        <f t="shared" si="27"/>
        <v>NA</v>
      </c>
      <c r="U232">
        <f t="shared" si="28"/>
        <v>0</v>
      </c>
    </row>
    <row r="233" spans="1:21">
      <c r="A233">
        <v>164</v>
      </c>
      <c r="B233" s="1">
        <v>45129</v>
      </c>
      <c r="C233" t="s">
        <v>43</v>
      </c>
      <c r="D233" t="s">
        <v>44</v>
      </c>
      <c r="E233" t="s">
        <v>92</v>
      </c>
      <c r="F233" s="1">
        <v>45129</v>
      </c>
      <c r="G233" t="s">
        <v>43</v>
      </c>
      <c r="H233" t="s">
        <v>44</v>
      </c>
      <c r="I233" t="s">
        <v>92</v>
      </c>
      <c r="J233" t="s">
        <v>22</v>
      </c>
      <c r="K233">
        <v>75</v>
      </c>
      <c r="L233" t="s">
        <v>22</v>
      </c>
      <c r="M233">
        <v>25</v>
      </c>
      <c r="N233" t="s">
        <v>22</v>
      </c>
      <c r="O233" t="s">
        <v>22</v>
      </c>
      <c r="P233" s="3">
        <f t="shared" si="29"/>
        <v>2</v>
      </c>
      <c r="Q233" t="str">
        <f t="shared" si="24"/>
        <v>NA</v>
      </c>
      <c r="R233" t="str">
        <f t="shared" si="25"/>
        <v>NA</v>
      </c>
      <c r="S233" t="str">
        <f t="shared" si="26"/>
        <v>NA</v>
      </c>
      <c r="T233" t="str">
        <f t="shared" si="27"/>
        <v>NA</v>
      </c>
      <c r="U233">
        <f t="shared" si="28"/>
        <v>0</v>
      </c>
    </row>
    <row r="234" spans="1:21">
      <c r="A234">
        <v>167</v>
      </c>
      <c r="B234" s="1">
        <v>45129</v>
      </c>
      <c r="C234" t="s">
        <v>50</v>
      </c>
      <c r="D234" t="s">
        <v>51</v>
      </c>
      <c r="E234" t="s">
        <v>15</v>
      </c>
      <c r="F234" s="1">
        <v>45129</v>
      </c>
      <c r="G234" t="s">
        <v>50</v>
      </c>
      <c r="H234" t="s">
        <v>51</v>
      </c>
      <c r="I234" t="s">
        <v>15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s="3">
        <f t="shared" si="29"/>
        <v>0</v>
      </c>
      <c r="Q234" t="str">
        <f t="shared" si="24"/>
        <v>NA</v>
      </c>
      <c r="R234" t="str">
        <f t="shared" si="25"/>
        <v>NA</v>
      </c>
      <c r="S234" t="str">
        <f t="shared" si="26"/>
        <v>NA</v>
      </c>
      <c r="T234" t="str">
        <f t="shared" si="27"/>
        <v>NA</v>
      </c>
      <c r="U234">
        <f t="shared" si="28"/>
        <v>0</v>
      </c>
    </row>
    <row r="235" spans="1:21">
      <c r="A235">
        <v>169</v>
      </c>
      <c r="B235" s="1">
        <v>45129</v>
      </c>
      <c r="C235" t="s">
        <v>56</v>
      </c>
      <c r="D235" t="s">
        <v>57</v>
      </c>
      <c r="E235" t="s">
        <v>15</v>
      </c>
      <c r="F235" s="1">
        <v>45129</v>
      </c>
      <c r="G235" t="s">
        <v>56</v>
      </c>
      <c r="H235" t="s">
        <v>57</v>
      </c>
      <c r="I235" t="s">
        <v>15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s="3">
        <f t="shared" si="29"/>
        <v>0</v>
      </c>
      <c r="Q235" t="str">
        <f t="shared" si="24"/>
        <v>NA</v>
      </c>
      <c r="R235" t="str">
        <f t="shared" si="25"/>
        <v>NA</v>
      </c>
      <c r="S235" t="str">
        <f t="shared" si="26"/>
        <v>NA</v>
      </c>
      <c r="T235" t="str">
        <f t="shared" si="27"/>
        <v>NA</v>
      </c>
      <c r="U235">
        <f t="shared" si="28"/>
        <v>0</v>
      </c>
    </row>
    <row r="236" spans="1:21">
      <c r="A236">
        <v>171</v>
      </c>
      <c r="B236" s="1">
        <v>45129</v>
      </c>
      <c r="C236" t="s">
        <v>61</v>
      </c>
      <c r="D236" t="s">
        <v>62</v>
      </c>
      <c r="E236" t="s">
        <v>15</v>
      </c>
      <c r="F236" s="1">
        <v>45129</v>
      </c>
      <c r="G236" t="s">
        <v>61</v>
      </c>
      <c r="H236" t="s">
        <v>62</v>
      </c>
      <c r="I236" t="s">
        <v>15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s="3">
        <f t="shared" si="29"/>
        <v>0</v>
      </c>
      <c r="Q236" t="str">
        <f t="shared" si="24"/>
        <v>NA</v>
      </c>
      <c r="R236" t="str">
        <f t="shared" si="25"/>
        <v>NA</v>
      </c>
      <c r="S236" t="str">
        <f t="shared" si="26"/>
        <v>NA</v>
      </c>
      <c r="T236" t="str">
        <f t="shared" si="27"/>
        <v>NA</v>
      </c>
      <c r="U236">
        <f t="shared" si="28"/>
        <v>0</v>
      </c>
    </row>
    <row r="237" spans="1:21">
      <c r="A237">
        <v>174</v>
      </c>
      <c r="B237" s="1">
        <v>45129</v>
      </c>
      <c r="C237" t="s">
        <v>68</v>
      </c>
      <c r="D237" t="s">
        <v>69</v>
      </c>
      <c r="E237" t="s">
        <v>15</v>
      </c>
      <c r="F237" s="1">
        <v>45129</v>
      </c>
      <c r="G237" t="s">
        <v>68</v>
      </c>
      <c r="H237" t="s">
        <v>69</v>
      </c>
      <c r="I237" t="s">
        <v>15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s="3">
        <f t="shared" si="29"/>
        <v>0</v>
      </c>
      <c r="Q237" t="str">
        <f t="shared" si="24"/>
        <v>NA</v>
      </c>
      <c r="R237" t="str">
        <f t="shared" si="25"/>
        <v>NA</v>
      </c>
      <c r="S237" t="str">
        <f t="shared" si="26"/>
        <v>NA</v>
      </c>
      <c r="T237" t="str">
        <f t="shared" si="27"/>
        <v>NA</v>
      </c>
      <c r="U237">
        <f t="shared" si="28"/>
        <v>0</v>
      </c>
    </row>
    <row r="238" spans="1:21">
      <c r="A238">
        <v>177</v>
      </c>
      <c r="B238" s="1">
        <v>45129</v>
      </c>
      <c r="C238" t="s">
        <v>74</v>
      </c>
      <c r="D238" t="s">
        <v>75</v>
      </c>
      <c r="E238" t="s">
        <v>65</v>
      </c>
      <c r="F238" s="1">
        <v>45129</v>
      </c>
      <c r="G238" t="s">
        <v>74</v>
      </c>
      <c r="H238" t="s">
        <v>75</v>
      </c>
      <c r="I238" t="s">
        <v>65</v>
      </c>
      <c r="J238" t="s">
        <v>22</v>
      </c>
      <c r="K238">
        <v>100</v>
      </c>
      <c r="L238" t="s">
        <v>22</v>
      </c>
      <c r="M238" t="s">
        <v>22</v>
      </c>
      <c r="N238" t="s">
        <v>22</v>
      </c>
      <c r="O238" t="s">
        <v>22</v>
      </c>
      <c r="P238" s="3">
        <f t="shared" si="29"/>
        <v>1</v>
      </c>
      <c r="Q238" t="str">
        <f t="shared" si="24"/>
        <v>NA</v>
      </c>
      <c r="R238" t="str">
        <f t="shared" si="25"/>
        <v>NA</v>
      </c>
      <c r="S238" t="str">
        <f t="shared" si="26"/>
        <v>NA</v>
      </c>
      <c r="T238" t="str">
        <f t="shared" si="27"/>
        <v>NA</v>
      </c>
      <c r="U238">
        <f t="shared" si="28"/>
        <v>0</v>
      </c>
    </row>
    <row r="239" spans="1:21">
      <c r="A239">
        <v>179</v>
      </c>
      <c r="B239" s="1">
        <v>45129</v>
      </c>
      <c r="C239" t="s">
        <v>79</v>
      </c>
      <c r="D239" t="s">
        <v>80</v>
      </c>
      <c r="E239" t="s">
        <v>65</v>
      </c>
      <c r="F239" s="1">
        <v>45129</v>
      </c>
      <c r="G239" t="s">
        <v>79</v>
      </c>
      <c r="H239" t="s">
        <v>80</v>
      </c>
      <c r="I239" t="s">
        <v>65</v>
      </c>
      <c r="J239" t="s">
        <v>22</v>
      </c>
      <c r="K239">
        <v>100</v>
      </c>
      <c r="L239" t="s">
        <v>22</v>
      </c>
      <c r="M239" t="s">
        <v>22</v>
      </c>
      <c r="N239" t="s">
        <v>22</v>
      </c>
      <c r="O239" t="s">
        <v>22</v>
      </c>
      <c r="P239" s="3">
        <f t="shared" si="29"/>
        <v>1</v>
      </c>
      <c r="Q239" t="str">
        <f t="shared" si="24"/>
        <v>NA</v>
      </c>
      <c r="R239" t="str">
        <f t="shared" si="25"/>
        <v>NA</v>
      </c>
      <c r="S239" t="str">
        <f t="shared" si="26"/>
        <v>NA</v>
      </c>
      <c r="T239" t="str">
        <f t="shared" si="27"/>
        <v>NA</v>
      </c>
      <c r="U239">
        <f t="shared" si="28"/>
        <v>0</v>
      </c>
    </row>
    <row r="240" spans="1:21">
      <c r="A240">
        <v>180</v>
      </c>
      <c r="B240" s="1">
        <v>45129</v>
      </c>
      <c r="C240" t="s">
        <v>81</v>
      </c>
      <c r="D240" t="s">
        <v>82</v>
      </c>
      <c r="E240" t="s">
        <v>15</v>
      </c>
      <c r="F240" s="1">
        <v>45129</v>
      </c>
      <c r="G240" t="s">
        <v>81</v>
      </c>
      <c r="H240" t="s">
        <v>82</v>
      </c>
      <c r="I240" t="s">
        <v>15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s="3">
        <f t="shared" si="29"/>
        <v>0</v>
      </c>
      <c r="Q240" t="str">
        <f t="shared" si="24"/>
        <v>NA</v>
      </c>
      <c r="R240" t="str">
        <f t="shared" si="25"/>
        <v>NA</v>
      </c>
      <c r="S240" t="str">
        <f t="shared" si="26"/>
        <v>NA</v>
      </c>
      <c r="T240" t="str">
        <f t="shared" si="27"/>
        <v>NA</v>
      </c>
      <c r="U240">
        <f t="shared" si="28"/>
        <v>0</v>
      </c>
    </row>
    <row r="241" spans="1:21">
      <c r="A241">
        <v>181</v>
      </c>
      <c r="B241" s="1">
        <v>45145</v>
      </c>
      <c r="C241" t="s">
        <v>13</v>
      </c>
      <c r="D241" t="s">
        <v>14</v>
      </c>
      <c r="E241" t="s">
        <v>15</v>
      </c>
      <c r="F241" s="1">
        <v>45145</v>
      </c>
      <c r="G241" t="s">
        <v>13</v>
      </c>
      <c r="H241" t="s">
        <v>14</v>
      </c>
      <c r="I241" t="s">
        <v>15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s="3">
        <f t="shared" si="29"/>
        <v>0</v>
      </c>
      <c r="Q241" t="str">
        <f t="shared" si="24"/>
        <v>NA</v>
      </c>
      <c r="R241" t="str">
        <f t="shared" si="25"/>
        <v>NA</v>
      </c>
      <c r="S241" t="str">
        <f t="shared" si="26"/>
        <v>NA</v>
      </c>
      <c r="T241" t="str">
        <f t="shared" si="27"/>
        <v>NA</v>
      </c>
      <c r="U241">
        <f t="shared" si="28"/>
        <v>0</v>
      </c>
    </row>
    <row r="242" spans="1:21">
      <c r="A242">
        <v>183</v>
      </c>
      <c r="B242" s="1">
        <v>45145</v>
      </c>
      <c r="C242" t="s">
        <v>20</v>
      </c>
      <c r="D242" t="s">
        <v>21</v>
      </c>
      <c r="E242" t="s">
        <v>22</v>
      </c>
      <c r="F242" s="1">
        <v>45145</v>
      </c>
      <c r="G242" t="s">
        <v>20</v>
      </c>
      <c r="H242" t="s">
        <v>21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s="3">
        <f t="shared" si="29"/>
        <v>0</v>
      </c>
      <c r="Q242" t="str">
        <f t="shared" si="24"/>
        <v>NA</v>
      </c>
      <c r="R242" t="str">
        <f t="shared" si="25"/>
        <v>NA</v>
      </c>
      <c r="S242" t="str">
        <f t="shared" si="26"/>
        <v>NA</v>
      </c>
      <c r="T242" t="str">
        <f t="shared" si="27"/>
        <v>NA</v>
      </c>
      <c r="U242">
        <f t="shared" si="28"/>
        <v>0</v>
      </c>
    </row>
    <row r="243" spans="1:21">
      <c r="A243">
        <v>185</v>
      </c>
      <c r="B243" s="1">
        <v>45145</v>
      </c>
      <c r="C243" t="s">
        <v>25</v>
      </c>
      <c r="D243" t="s">
        <v>26</v>
      </c>
      <c r="E243" t="s">
        <v>15</v>
      </c>
      <c r="F243" s="1">
        <v>45145</v>
      </c>
      <c r="G243" t="s">
        <v>25</v>
      </c>
      <c r="H243" t="s">
        <v>26</v>
      </c>
      <c r="I243" t="s">
        <v>15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s="3">
        <f t="shared" si="29"/>
        <v>0</v>
      </c>
      <c r="Q243" t="str">
        <f t="shared" si="24"/>
        <v>NA</v>
      </c>
      <c r="R243" t="str">
        <f t="shared" si="25"/>
        <v>NA</v>
      </c>
      <c r="S243" t="str">
        <f t="shared" si="26"/>
        <v>NA</v>
      </c>
      <c r="T243" t="str">
        <f t="shared" si="27"/>
        <v>NA</v>
      </c>
      <c r="U243">
        <f t="shared" si="28"/>
        <v>0</v>
      </c>
    </row>
    <row r="244" spans="1:21">
      <c r="A244">
        <v>186</v>
      </c>
      <c r="B244" s="1">
        <v>45145</v>
      </c>
      <c r="C244" t="s">
        <v>27</v>
      </c>
      <c r="D244" t="s">
        <v>28</v>
      </c>
      <c r="E244" t="s">
        <v>15</v>
      </c>
      <c r="F244" s="1">
        <v>45145</v>
      </c>
      <c r="G244" t="s">
        <v>27</v>
      </c>
      <c r="H244" t="s">
        <v>28</v>
      </c>
      <c r="I244" t="s">
        <v>15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s="3">
        <f t="shared" si="29"/>
        <v>0</v>
      </c>
      <c r="Q244" t="str">
        <f t="shared" si="24"/>
        <v>NA</v>
      </c>
      <c r="R244" t="str">
        <f t="shared" si="25"/>
        <v>NA</v>
      </c>
      <c r="S244" t="str">
        <f t="shared" si="26"/>
        <v>NA</v>
      </c>
      <c r="T244" t="str">
        <f t="shared" si="27"/>
        <v>NA</v>
      </c>
      <c r="U244">
        <f t="shared" si="28"/>
        <v>0</v>
      </c>
    </row>
    <row r="245" spans="1:21">
      <c r="A245">
        <v>187</v>
      </c>
      <c r="B245" s="1">
        <v>45145</v>
      </c>
      <c r="C245" t="s">
        <v>29</v>
      </c>
      <c r="D245" t="s">
        <v>30</v>
      </c>
      <c r="E245" t="s">
        <v>22</v>
      </c>
      <c r="F245" s="1">
        <v>45145</v>
      </c>
      <c r="G245" t="s">
        <v>29</v>
      </c>
      <c r="H245" t="s">
        <v>30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s="3">
        <f t="shared" si="29"/>
        <v>0</v>
      </c>
      <c r="Q245" t="str">
        <f t="shared" si="24"/>
        <v>NA</v>
      </c>
      <c r="R245" t="str">
        <f t="shared" si="25"/>
        <v>NA</v>
      </c>
      <c r="S245" t="str">
        <f t="shared" si="26"/>
        <v>NA</v>
      </c>
      <c r="T245" t="str">
        <f t="shared" si="27"/>
        <v>NA</v>
      </c>
      <c r="U245">
        <f t="shared" si="28"/>
        <v>0</v>
      </c>
    </row>
    <row r="246" spans="1:21">
      <c r="A246">
        <v>188</v>
      </c>
      <c r="B246" s="1">
        <v>45145</v>
      </c>
      <c r="C246" t="s">
        <v>31</v>
      </c>
      <c r="D246" t="s">
        <v>32</v>
      </c>
      <c r="E246" t="s">
        <v>22</v>
      </c>
      <c r="F246" s="1">
        <v>45145</v>
      </c>
      <c r="G246" t="s">
        <v>31</v>
      </c>
      <c r="H246" t="s">
        <v>32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s="3">
        <f t="shared" si="29"/>
        <v>0</v>
      </c>
      <c r="Q246" t="str">
        <f t="shared" si="24"/>
        <v>NA</v>
      </c>
      <c r="R246" t="str">
        <f t="shared" si="25"/>
        <v>NA</v>
      </c>
      <c r="S246" t="str">
        <f t="shared" si="26"/>
        <v>NA</v>
      </c>
      <c r="T246" t="str">
        <f t="shared" si="27"/>
        <v>NA</v>
      </c>
      <c r="U246">
        <f t="shared" si="28"/>
        <v>0</v>
      </c>
    </row>
    <row r="247" spans="1:21">
      <c r="A247">
        <v>189</v>
      </c>
      <c r="B247" s="1">
        <v>45145</v>
      </c>
      <c r="C247" t="s">
        <v>33</v>
      </c>
      <c r="D247" t="s">
        <v>34</v>
      </c>
      <c r="E247" t="s">
        <v>65</v>
      </c>
      <c r="F247" s="1">
        <v>45145</v>
      </c>
      <c r="G247" t="s">
        <v>33</v>
      </c>
      <c r="H247" t="s">
        <v>34</v>
      </c>
      <c r="I247" t="s">
        <v>65</v>
      </c>
      <c r="J247" t="s">
        <v>22</v>
      </c>
      <c r="K247">
        <v>100</v>
      </c>
      <c r="L247" t="s">
        <v>22</v>
      </c>
      <c r="M247" t="s">
        <v>22</v>
      </c>
      <c r="N247" t="s">
        <v>22</v>
      </c>
      <c r="O247" t="s">
        <v>22</v>
      </c>
      <c r="P247" s="3">
        <f t="shared" si="29"/>
        <v>1</v>
      </c>
      <c r="Q247" t="str">
        <f t="shared" si="24"/>
        <v>NA</v>
      </c>
      <c r="R247" t="str">
        <f t="shared" si="25"/>
        <v>NA</v>
      </c>
      <c r="S247" t="str">
        <f t="shared" si="26"/>
        <v>NA</v>
      </c>
      <c r="T247" t="str">
        <f t="shared" si="27"/>
        <v>NA</v>
      </c>
      <c r="U247">
        <f t="shared" si="28"/>
        <v>0</v>
      </c>
    </row>
    <row r="248" spans="1:21">
      <c r="A248">
        <v>190</v>
      </c>
      <c r="B248" s="1">
        <v>45145</v>
      </c>
      <c r="C248" t="s">
        <v>35</v>
      </c>
      <c r="D248" t="s">
        <v>36</v>
      </c>
      <c r="E248" t="s">
        <v>15</v>
      </c>
      <c r="F248" s="1">
        <v>45145</v>
      </c>
      <c r="G248" t="s">
        <v>35</v>
      </c>
      <c r="H248" t="s">
        <v>36</v>
      </c>
      <c r="I248" t="s">
        <v>15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s="3">
        <f t="shared" si="29"/>
        <v>0</v>
      </c>
      <c r="Q248" t="str">
        <f t="shared" si="24"/>
        <v>NA</v>
      </c>
      <c r="R248" t="str">
        <f t="shared" si="25"/>
        <v>NA</v>
      </c>
      <c r="S248" t="str">
        <f t="shared" si="26"/>
        <v>NA</v>
      </c>
      <c r="T248" t="str">
        <f t="shared" si="27"/>
        <v>NA</v>
      </c>
      <c r="U248">
        <f t="shared" si="28"/>
        <v>0</v>
      </c>
    </row>
    <row r="249" spans="1:21">
      <c r="A249">
        <v>191</v>
      </c>
      <c r="B249" s="1">
        <v>45145</v>
      </c>
      <c r="C249" t="s">
        <v>37</v>
      </c>
      <c r="D249" t="s">
        <v>38</v>
      </c>
      <c r="E249" t="s">
        <v>22</v>
      </c>
      <c r="F249" s="1">
        <v>45145</v>
      </c>
      <c r="G249" t="s">
        <v>37</v>
      </c>
      <c r="H249" t="s">
        <v>38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s="3">
        <f t="shared" si="29"/>
        <v>0</v>
      </c>
      <c r="Q249" t="str">
        <f t="shared" si="24"/>
        <v>NA</v>
      </c>
      <c r="R249" t="str">
        <f t="shared" si="25"/>
        <v>NA</v>
      </c>
      <c r="S249" t="str">
        <f t="shared" si="26"/>
        <v>NA</v>
      </c>
      <c r="T249" t="str">
        <f t="shared" si="27"/>
        <v>NA</v>
      </c>
      <c r="U249">
        <f t="shared" si="28"/>
        <v>0</v>
      </c>
    </row>
    <row r="250" spans="1:21">
      <c r="A250">
        <v>192</v>
      </c>
      <c r="B250" s="1">
        <v>45145</v>
      </c>
      <c r="C250" t="s">
        <v>39</v>
      </c>
      <c r="D250" t="s">
        <v>40</v>
      </c>
      <c r="E250" t="s">
        <v>15</v>
      </c>
      <c r="F250" s="1">
        <v>45145</v>
      </c>
      <c r="G250" t="s">
        <v>39</v>
      </c>
      <c r="H250" t="s">
        <v>40</v>
      </c>
      <c r="I250" t="s">
        <v>15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s="3">
        <f t="shared" si="29"/>
        <v>0</v>
      </c>
      <c r="Q250" t="str">
        <f t="shared" si="24"/>
        <v>NA</v>
      </c>
      <c r="R250" t="str">
        <f t="shared" si="25"/>
        <v>NA</v>
      </c>
      <c r="S250" t="str">
        <f t="shared" si="26"/>
        <v>NA</v>
      </c>
      <c r="T250" t="str">
        <f t="shared" si="27"/>
        <v>NA</v>
      </c>
      <c r="U250">
        <f t="shared" si="28"/>
        <v>0</v>
      </c>
    </row>
    <row r="251" spans="1:21">
      <c r="A251">
        <v>193</v>
      </c>
      <c r="B251" s="1">
        <v>45145</v>
      </c>
      <c r="C251" t="s">
        <v>41</v>
      </c>
      <c r="D251" t="s">
        <v>42</v>
      </c>
      <c r="E251" t="s">
        <v>22</v>
      </c>
      <c r="F251" s="1">
        <v>45145</v>
      </c>
      <c r="G251" t="s">
        <v>41</v>
      </c>
      <c r="H251" t="s">
        <v>42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s="3">
        <f t="shared" si="29"/>
        <v>0</v>
      </c>
      <c r="Q251" t="str">
        <f t="shared" si="24"/>
        <v>NA</v>
      </c>
      <c r="R251" t="str">
        <f t="shared" si="25"/>
        <v>NA</v>
      </c>
      <c r="S251" t="str">
        <f t="shared" si="26"/>
        <v>NA</v>
      </c>
      <c r="T251" t="str">
        <f t="shared" si="27"/>
        <v>NA</v>
      </c>
      <c r="U251">
        <f t="shared" si="28"/>
        <v>0</v>
      </c>
    </row>
    <row r="252" spans="1:21">
      <c r="A252">
        <v>197</v>
      </c>
      <c r="B252" s="1">
        <v>45145</v>
      </c>
      <c r="C252" t="s">
        <v>50</v>
      </c>
      <c r="D252" t="s">
        <v>51</v>
      </c>
      <c r="E252" t="s">
        <v>15</v>
      </c>
      <c r="F252" s="1">
        <v>45145</v>
      </c>
      <c r="G252" t="s">
        <v>50</v>
      </c>
      <c r="H252" t="s">
        <v>51</v>
      </c>
      <c r="I252" t="s">
        <v>15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s="3">
        <f t="shared" si="29"/>
        <v>0</v>
      </c>
      <c r="Q252" t="str">
        <f t="shared" si="24"/>
        <v>NA</v>
      </c>
      <c r="R252" t="str">
        <f t="shared" si="25"/>
        <v>NA</v>
      </c>
      <c r="S252" t="str">
        <f t="shared" si="26"/>
        <v>NA</v>
      </c>
      <c r="T252" t="str">
        <f t="shared" si="27"/>
        <v>NA</v>
      </c>
      <c r="U252">
        <f t="shared" si="28"/>
        <v>0</v>
      </c>
    </row>
    <row r="253" spans="1:21">
      <c r="A253">
        <v>199</v>
      </c>
      <c r="B253" s="1">
        <v>45145</v>
      </c>
      <c r="C253" t="s">
        <v>56</v>
      </c>
      <c r="D253" t="s">
        <v>57</v>
      </c>
      <c r="E253" t="s">
        <v>65</v>
      </c>
      <c r="F253" s="1">
        <v>45145</v>
      </c>
      <c r="G253" t="s">
        <v>56</v>
      </c>
      <c r="H253" t="s">
        <v>57</v>
      </c>
      <c r="I253" t="s">
        <v>65</v>
      </c>
      <c r="J253" t="s">
        <v>22</v>
      </c>
      <c r="K253">
        <v>100</v>
      </c>
      <c r="L253" t="s">
        <v>22</v>
      </c>
      <c r="M253" t="s">
        <v>22</v>
      </c>
      <c r="N253" t="s">
        <v>22</v>
      </c>
      <c r="O253" t="s">
        <v>22</v>
      </c>
      <c r="P253" s="3">
        <f t="shared" si="29"/>
        <v>1</v>
      </c>
      <c r="Q253" t="str">
        <f t="shared" si="24"/>
        <v>NA</v>
      </c>
      <c r="R253" t="str">
        <f t="shared" si="25"/>
        <v>NA</v>
      </c>
      <c r="S253" t="str">
        <f t="shared" si="26"/>
        <v>NA</v>
      </c>
      <c r="T253" t="str">
        <f t="shared" si="27"/>
        <v>NA</v>
      </c>
      <c r="U253">
        <f t="shared" si="28"/>
        <v>0</v>
      </c>
    </row>
    <row r="254" spans="1:21">
      <c r="A254">
        <v>201</v>
      </c>
      <c r="B254" s="1">
        <v>45145</v>
      </c>
      <c r="C254" t="s">
        <v>61</v>
      </c>
      <c r="D254" t="s">
        <v>62</v>
      </c>
      <c r="E254" t="s">
        <v>22</v>
      </c>
      <c r="F254" s="1">
        <v>45145</v>
      </c>
      <c r="G254" t="s">
        <v>61</v>
      </c>
      <c r="H254" t="s">
        <v>62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s="3">
        <f t="shared" si="29"/>
        <v>0</v>
      </c>
      <c r="Q254" t="str">
        <f t="shared" si="24"/>
        <v>NA</v>
      </c>
      <c r="R254" t="str">
        <f t="shared" si="25"/>
        <v>NA</v>
      </c>
      <c r="S254" t="str">
        <f t="shared" si="26"/>
        <v>NA</v>
      </c>
      <c r="T254" t="str">
        <f t="shared" si="27"/>
        <v>NA</v>
      </c>
      <c r="U254">
        <f t="shared" si="28"/>
        <v>0</v>
      </c>
    </row>
    <row r="255" spans="1:21">
      <c r="A255">
        <v>203</v>
      </c>
      <c r="B255" s="1">
        <v>45145</v>
      </c>
      <c r="C255" t="s">
        <v>66</v>
      </c>
      <c r="D255" t="s">
        <v>67</v>
      </c>
      <c r="E255" t="s">
        <v>65</v>
      </c>
      <c r="F255" s="1">
        <v>45145</v>
      </c>
      <c r="G255" t="s">
        <v>66</v>
      </c>
      <c r="H255" t="s">
        <v>67</v>
      </c>
      <c r="I255" t="s">
        <v>65</v>
      </c>
      <c r="J255" t="s">
        <v>22</v>
      </c>
      <c r="K255">
        <v>100</v>
      </c>
      <c r="L255" t="s">
        <v>22</v>
      </c>
      <c r="M255" t="s">
        <v>22</v>
      </c>
      <c r="N255" t="s">
        <v>22</v>
      </c>
      <c r="O255" t="s">
        <v>22</v>
      </c>
      <c r="P255" s="3">
        <f t="shared" si="29"/>
        <v>1</v>
      </c>
      <c r="Q255" t="str">
        <f t="shared" si="24"/>
        <v>NA</v>
      </c>
      <c r="R255" t="str">
        <f t="shared" si="25"/>
        <v>NA</v>
      </c>
      <c r="S255" t="str">
        <f t="shared" si="26"/>
        <v>NA</v>
      </c>
      <c r="T255" t="str">
        <f t="shared" si="27"/>
        <v>NA</v>
      </c>
      <c r="U255">
        <f t="shared" si="28"/>
        <v>0</v>
      </c>
    </row>
    <row r="256" spans="1:21">
      <c r="A256">
        <v>205</v>
      </c>
      <c r="B256" s="1">
        <v>45145</v>
      </c>
      <c r="C256" t="s">
        <v>70</v>
      </c>
      <c r="D256" t="s">
        <v>71</v>
      </c>
      <c r="E256" t="s">
        <v>15</v>
      </c>
      <c r="F256" s="1">
        <v>45145</v>
      </c>
      <c r="G256" t="s">
        <v>70</v>
      </c>
      <c r="H256" t="s">
        <v>71</v>
      </c>
      <c r="I256" t="s">
        <v>15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s="3">
        <f t="shared" si="29"/>
        <v>0</v>
      </c>
      <c r="Q256" t="str">
        <f t="shared" si="24"/>
        <v>NA</v>
      </c>
      <c r="R256" t="str">
        <f t="shared" si="25"/>
        <v>NA</v>
      </c>
      <c r="S256" t="str">
        <f t="shared" si="26"/>
        <v>NA</v>
      </c>
      <c r="T256" t="str">
        <f t="shared" si="27"/>
        <v>NA</v>
      </c>
      <c r="U256">
        <f t="shared" si="28"/>
        <v>0</v>
      </c>
    </row>
    <row r="257" spans="1:21">
      <c r="A257">
        <v>207</v>
      </c>
      <c r="B257" s="1">
        <v>45145</v>
      </c>
      <c r="C257" t="s">
        <v>74</v>
      </c>
      <c r="D257" t="s">
        <v>75</v>
      </c>
      <c r="E257" t="s">
        <v>22</v>
      </c>
      <c r="F257" s="1">
        <v>45145</v>
      </c>
      <c r="G257" t="s">
        <v>74</v>
      </c>
      <c r="H257" t="s">
        <v>75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s="3">
        <f t="shared" si="29"/>
        <v>0</v>
      </c>
      <c r="Q257" t="str">
        <f t="shared" si="24"/>
        <v>NA</v>
      </c>
      <c r="R257" t="str">
        <f t="shared" si="25"/>
        <v>NA</v>
      </c>
      <c r="S257" t="str">
        <f t="shared" si="26"/>
        <v>NA</v>
      </c>
      <c r="T257" t="str">
        <f t="shared" si="27"/>
        <v>NA</v>
      </c>
      <c r="U257">
        <f t="shared" si="28"/>
        <v>0</v>
      </c>
    </row>
    <row r="258" spans="1:21">
      <c r="A258">
        <v>209</v>
      </c>
      <c r="B258" s="1">
        <v>45145</v>
      </c>
      <c r="C258" t="s">
        <v>79</v>
      </c>
      <c r="D258" t="s">
        <v>80</v>
      </c>
      <c r="E258" t="s">
        <v>65</v>
      </c>
      <c r="F258" s="1">
        <v>45145</v>
      </c>
      <c r="G258" t="s">
        <v>79</v>
      </c>
      <c r="H258" t="s">
        <v>80</v>
      </c>
      <c r="I258" t="s">
        <v>65</v>
      </c>
      <c r="J258" t="s">
        <v>22</v>
      </c>
      <c r="K258">
        <v>100</v>
      </c>
      <c r="L258" t="s">
        <v>22</v>
      </c>
      <c r="M258" t="s">
        <v>22</v>
      </c>
      <c r="N258" t="s">
        <v>22</v>
      </c>
      <c r="O258" t="s">
        <v>22</v>
      </c>
      <c r="P258" s="3">
        <f t="shared" si="29"/>
        <v>1</v>
      </c>
      <c r="Q258" t="str">
        <f t="shared" si="24"/>
        <v>NA</v>
      </c>
      <c r="R258" t="str">
        <f t="shared" si="25"/>
        <v>NA</v>
      </c>
      <c r="S258" t="str">
        <f t="shared" si="26"/>
        <v>NA</v>
      </c>
      <c r="T258" t="str">
        <f t="shared" si="27"/>
        <v>NA</v>
      </c>
      <c r="U258">
        <f t="shared" si="28"/>
        <v>0</v>
      </c>
    </row>
    <row r="259" spans="1:21">
      <c r="A259">
        <v>210</v>
      </c>
      <c r="B259" s="1">
        <v>45145</v>
      </c>
      <c r="C259" t="s">
        <v>81</v>
      </c>
      <c r="D259" t="s">
        <v>82</v>
      </c>
      <c r="E259" t="s">
        <v>15</v>
      </c>
      <c r="F259" s="1">
        <v>45145</v>
      </c>
      <c r="G259" t="s">
        <v>81</v>
      </c>
      <c r="H259" t="s">
        <v>82</v>
      </c>
      <c r="I259" t="s">
        <v>15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s="3">
        <f t="shared" si="29"/>
        <v>0</v>
      </c>
      <c r="Q259" t="str">
        <f t="shared" si="24"/>
        <v>NA</v>
      </c>
      <c r="R259" t="str">
        <f t="shared" si="25"/>
        <v>NA</v>
      </c>
      <c r="S259" t="str">
        <f t="shared" si="26"/>
        <v>NA</v>
      </c>
      <c r="T259" t="str">
        <f t="shared" si="27"/>
        <v>NA</v>
      </c>
      <c r="U259">
        <f t="shared" si="28"/>
        <v>0</v>
      </c>
    </row>
    <row r="260" spans="1:21">
      <c r="A260">
        <v>211</v>
      </c>
      <c r="B260" s="1">
        <v>45157</v>
      </c>
      <c r="C260" t="s">
        <v>13</v>
      </c>
      <c r="D260" t="s">
        <v>14</v>
      </c>
      <c r="E260" t="s">
        <v>15</v>
      </c>
      <c r="F260" s="1">
        <v>45157</v>
      </c>
      <c r="G260" t="s">
        <v>13</v>
      </c>
      <c r="H260" t="s">
        <v>14</v>
      </c>
      <c r="I260" t="s">
        <v>15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s="3">
        <f t="shared" si="29"/>
        <v>0</v>
      </c>
      <c r="Q260" t="str">
        <f t="shared" ref="Q260:Q323" si="30">IF(NOT(J260="NA"),1,"NA")</f>
        <v>NA</v>
      </c>
      <c r="R260" t="str">
        <f t="shared" ref="R260:R323" si="31">IF(NOT(L260="NA"),1,"NA")</f>
        <v>NA</v>
      </c>
      <c r="S260" t="str">
        <f t="shared" ref="S260:S323" si="32">IF(NOT(N260="NA"),1,"NA")</f>
        <v>NA</v>
      </c>
      <c r="T260" t="str">
        <f t="shared" ref="T260:T323" si="33">IF(NOT(O260="NA"),1,"NA")</f>
        <v>NA</v>
      </c>
      <c r="U260">
        <f t="shared" ref="U260:U323" si="34">SUM(Q260:T260)</f>
        <v>0</v>
      </c>
    </row>
    <row r="261" spans="1:21">
      <c r="A261">
        <v>213</v>
      </c>
      <c r="B261" s="1">
        <v>45157</v>
      </c>
      <c r="C261" t="s">
        <v>20</v>
      </c>
      <c r="D261" t="s">
        <v>21</v>
      </c>
      <c r="E261" t="s">
        <v>22</v>
      </c>
      <c r="F261" s="1">
        <v>45157</v>
      </c>
      <c r="G261" t="s">
        <v>20</v>
      </c>
      <c r="H261" t="s">
        <v>21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s="3">
        <f t="shared" ref="P261:P324" si="35">COUNTA(J261:O261)-COUNTIF(J261:O261,"NA")</f>
        <v>0</v>
      </c>
      <c r="Q261" t="str">
        <f t="shared" si="30"/>
        <v>NA</v>
      </c>
      <c r="R261" t="str">
        <f t="shared" si="31"/>
        <v>NA</v>
      </c>
      <c r="S261" t="str">
        <f t="shared" si="32"/>
        <v>NA</v>
      </c>
      <c r="T261" t="str">
        <f t="shared" si="33"/>
        <v>NA</v>
      </c>
      <c r="U261">
        <f t="shared" si="34"/>
        <v>0</v>
      </c>
    </row>
    <row r="262" spans="1:21">
      <c r="A262">
        <v>214</v>
      </c>
      <c r="B262" s="1">
        <v>45157</v>
      </c>
      <c r="C262" t="s">
        <v>23</v>
      </c>
      <c r="D262" t="s">
        <v>24</v>
      </c>
      <c r="E262">
        <v>0</v>
      </c>
      <c r="F262" s="1">
        <v>45157</v>
      </c>
      <c r="G262" t="s">
        <v>23</v>
      </c>
      <c r="H262" t="s">
        <v>24</v>
      </c>
      <c r="I262">
        <v>0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s="3">
        <f t="shared" si="35"/>
        <v>0</v>
      </c>
      <c r="Q262" t="str">
        <f t="shared" si="30"/>
        <v>NA</v>
      </c>
      <c r="R262" t="str">
        <f t="shared" si="31"/>
        <v>NA</v>
      </c>
      <c r="S262" t="str">
        <f t="shared" si="32"/>
        <v>NA</v>
      </c>
      <c r="T262" t="str">
        <f t="shared" si="33"/>
        <v>NA</v>
      </c>
      <c r="U262">
        <f t="shared" si="34"/>
        <v>0</v>
      </c>
    </row>
    <row r="263" spans="1:21">
      <c r="A263">
        <v>215</v>
      </c>
      <c r="B263" s="1">
        <v>45157</v>
      </c>
      <c r="C263" t="s">
        <v>25</v>
      </c>
      <c r="D263" t="s">
        <v>26</v>
      </c>
      <c r="E263" t="s">
        <v>15</v>
      </c>
      <c r="F263" s="1">
        <v>45157</v>
      </c>
      <c r="G263" t="s">
        <v>25</v>
      </c>
      <c r="H263" t="s">
        <v>26</v>
      </c>
      <c r="I263" t="s">
        <v>15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s="3">
        <f t="shared" si="35"/>
        <v>0</v>
      </c>
      <c r="Q263" t="str">
        <f t="shared" si="30"/>
        <v>NA</v>
      </c>
      <c r="R263" t="str">
        <f t="shared" si="31"/>
        <v>NA</v>
      </c>
      <c r="S263" t="str">
        <f t="shared" si="32"/>
        <v>NA</v>
      </c>
      <c r="T263" t="str">
        <f t="shared" si="33"/>
        <v>NA</v>
      </c>
      <c r="U263">
        <f t="shared" si="34"/>
        <v>0</v>
      </c>
    </row>
    <row r="264" spans="1:21">
      <c r="A264">
        <v>216</v>
      </c>
      <c r="B264" s="1">
        <v>45157</v>
      </c>
      <c r="C264" t="s">
        <v>27</v>
      </c>
      <c r="D264" t="s">
        <v>28</v>
      </c>
      <c r="E264" t="s">
        <v>22</v>
      </c>
      <c r="F264" s="1">
        <v>45157</v>
      </c>
      <c r="G264" t="s">
        <v>27</v>
      </c>
      <c r="H264" t="s">
        <v>28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s="3">
        <f t="shared" si="35"/>
        <v>0</v>
      </c>
      <c r="Q264" t="str">
        <f t="shared" si="30"/>
        <v>NA</v>
      </c>
      <c r="R264" t="str">
        <f t="shared" si="31"/>
        <v>NA</v>
      </c>
      <c r="S264" t="str">
        <f t="shared" si="32"/>
        <v>NA</v>
      </c>
      <c r="T264" t="str">
        <f t="shared" si="33"/>
        <v>NA</v>
      </c>
      <c r="U264">
        <f t="shared" si="34"/>
        <v>0</v>
      </c>
    </row>
    <row r="265" spans="1:21">
      <c r="A265">
        <v>217</v>
      </c>
      <c r="B265" s="1">
        <v>45157</v>
      </c>
      <c r="C265" t="s">
        <v>29</v>
      </c>
      <c r="D265" t="s">
        <v>30</v>
      </c>
      <c r="E265" t="s">
        <v>22</v>
      </c>
      <c r="F265" s="1">
        <v>45157</v>
      </c>
      <c r="G265" t="s">
        <v>29</v>
      </c>
      <c r="H265" t="s">
        <v>30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s="3">
        <f t="shared" si="35"/>
        <v>0</v>
      </c>
      <c r="Q265" t="str">
        <f t="shared" si="30"/>
        <v>NA</v>
      </c>
      <c r="R265" t="str">
        <f t="shared" si="31"/>
        <v>NA</v>
      </c>
      <c r="S265" t="str">
        <f t="shared" si="32"/>
        <v>NA</v>
      </c>
      <c r="T265" t="str">
        <f t="shared" si="33"/>
        <v>NA</v>
      </c>
      <c r="U265">
        <f t="shared" si="34"/>
        <v>0</v>
      </c>
    </row>
    <row r="266" spans="1:21">
      <c r="A266">
        <v>218</v>
      </c>
      <c r="B266" s="1">
        <v>45157</v>
      </c>
      <c r="C266" t="s">
        <v>31</v>
      </c>
      <c r="D266" t="s">
        <v>32</v>
      </c>
      <c r="E266" t="s">
        <v>22</v>
      </c>
      <c r="F266" s="1">
        <v>45157</v>
      </c>
      <c r="G266" t="s">
        <v>31</v>
      </c>
      <c r="H266" t="s">
        <v>32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s="3">
        <f t="shared" si="35"/>
        <v>0</v>
      </c>
      <c r="Q266" t="str">
        <f t="shared" si="30"/>
        <v>NA</v>
      </c>
      <c r="R266" t="str">
        <f t="shared" si="31"/>
        <v>NA</v>
      </c>
      <c r="S266" t="str">
        <f t="shared" si="32"/>
        <v>NA</v>
      </c>
      <c r="T266" t="str">
        <f t="shared" si="33"/>
        <v>NA</v>
      </c>
      <c r="U266">
        <f t="shared" si="34"/>
        <v>0</v>
      </c>
    </row>
    <row r="267" spans="1:21">
      <c r="A267">
        <v>219</v>
      </c>
      <c r="B267" s="1">
        <v>45157</v>
      </c>
      <c r="C267" t="s">
        <v>33</v>
      </c>
      <c r="D267" t="s">
        <v>34</v>
      </c>
      <c r="E267" t="s">
        <v>22</v>
      </c>
      <c r="F267" s="1">
        <v>45157</v>
      </c>
      <c r="G267" t="s">
        <v>33</v>
      </c>
      <c r="H267" t="s">
        <v>34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s="3">
        <f t="shared" si="35"/>
        <v>0</v>
      </c>
      <c r="Q267" t="str">
        <f t="shared" si="30"/>
        <v>NA</v>
      </c>
      <c r="R267" t="str">
        <f t="shared" si="31"/>
        <v>NA</v>
      </c>
      <c r="S267" t="str">
        <f t="shared" si="32"/>
        <v>NA</v>
      </c>
      <c r="T267" t="str">
        <f t="shared" si="33"/>
        <v>NA</v>
      </c>
      <c r="U267">
        <f t="shared" si="34"/>
        <v>0</v>
      </c>
    </row>
    <row r="268" spans="1:21">
      <c r="A268">
        <v>220</v>
      </c>
      <c r="B268" s="1">
        <v>45157</v>
      </c>
      <c r="C268" t="s">
        <v>35</v>
      </c>
      <c r="D268" t="s">
        <v>36</v>
      </c>
      <c r="E268" t="s">
        <v>65</v>
      </c>
      <c r="F268" s="1">
        <v>45157</v>
      </c>
      <c r="G268" t="s">
        <v>35</v>
      </c>
      <c r="H268" t="s">
        <v>36</v>
      </c>
      <c r="I268" t="s">
        <v>65</v>
      </c>
      <c r="J268" t="s">
        <v>22</v>
      </c>
      <c r="K268">
        <v>100</v>
      </c>
      <c r="L268" t="s">
        <v>22</v>
      </c>
      <c r="M268" t="s">
        <v>22</v>
      </c>
      <c r="N268" t="s">
        <v>22</v>
      </c>
      <c r="O268" t="s">
        <v>22</v>
      </c>
      <c r="P268" s="3">
        <f t="shared" si="35"/>
        <v>1</v>
      </c>
      <c r="Q268" t="str">
        <f t="shared" si="30"/>
        <v>NA</v>
      </c>
      <c r="R268" t="str">
        <f t="shared" si="31"/>
        <v>NA</v>
      </c>
      <c r="S268" t="str">
        <f t="shared" si="32"/>
        <v>NA</v>
      </c>
      <c r="T268" t="str">
        <f t="shared" si="33"/>
        <v>NA</v>
      </c>
      <c r="U268">
        <f t="shared" si="34"/>
        <v>0</v>
      </c>
    </row>
    <row r="269" spans="1:21">
      <c r="A269">
        <v>221</v>
      </c>
      <c r="B269" s="1">
        <v>45157</v>
      </c>
      <c r="C269" t="s">
        <v>37</v>
      </c>
      <c r="D269" t="s">
        <v>38</v>
      </c>
      <c r="E269" t="s">
        <v>103</v>
      </c>
      <c r="F269" s="1">
        <v>45157</v>
      </c>
      <c r="G269" t="s">
        <v>37</v>
      </c>
      <c r="H269" t="s">
        <v>38</v>
      </c>
      <c r="I269" t="s">
        <v>103</v>
      </c>
      <c r="J269" t="s">
        <v>22</v>
      </c>
      <c r="K269">
        <v>25</v>
      </c>
      <c r="L269" t="s">
        <v>22</v>
      </c>
      <c r="M269">
        <v>75</v>
      </c>
      <c r="N269" t="s">
        <v>22</v>
      </c>
      <c r="O269" t="s">
        <v>22</v>
      </c>
      <c r="P269" s="3">
        <f t="shared" si="35"/>
        <v>2</v>
      </c>
      <c r="Q269" t="str">
        <f t="shared" si="30"/>
        <v>NA</v>
      </c>
      <c r="R269" t="str">
        <f t="shared" si="31"/>
        <v>NA</v>
      </c>
      <c r="S269" t="str">
        <f t="shared" si="32"/>
        <v>NA</v>
      </c>
      <c r="T269" t="str">
        <f t="shared" si="33"/>
        <v>NA</v>
      </c>
      <c r="U269">
        <f t="shared" si="34"/>
        <v>0</v>
      </c>
    </row>
    <row r="270" spans="1:21">
      <c r="A270">
        <v>222</v>
      </c>
      <c r="B270" s="1">
        <v>45157</v>
      </c>
      <c r="C270" t="s">
        <v>39</v>
      </c>
      <c r="D270" t="s">
        <v>40</v>
      </c>
      <c r="E270" t="s">
        <v>65</v>
      </c>
      <c r="F270" s="1">
        <v>45157</v>
      </c>
      <c r="G270" t="s">
        <v>39</v>
      </c>
      <c r="H270" t="s">
        <v>40</v>
      </c>
      <c r="I270" t="s">
        <v>65</v>
      </c>
      <c r="J270" t="s">
        <v>22</v>
      </c>
      <c r="K270">
        <v>100</v>
      </c>
      <c r="L270" t="s">
        <v>22</v>
      </c>
      <c r="M270" t="s">
        <v>22</v>
      </c>
      <c r="N270" t="s">
        <v>22</v>
      </c>
      <c r="O270" t="s">
        <v>22</v>
      </c>
      <c r="P270" s="3">
        <f t="shared" si="35"/>
        <v>1</v>
      </c>
      <c r="Q270" t="str">
        <f t="shared" si="30"/>
        <v>NA</v>
      </c>
      <c r="R270" t="str">
        <f t="shared" si="31"/>
        <v>NA</v>
      </c>
      <c r="S270" t="str">
        <f t="shared" si="32"/>
        <v>NA</v>
      </c>
      <c r="T270" t="str">
        <f t="shared" si="33"/>
        <v>NA</v>
      </c>
      <c r="U270">
        <f t="shared" si="34"/>
        <v>0</v>
      </c>
    </row>
    <row r="271" spans="1:21">
      <c r="A271">
        <v>223</v>
      </c>
      <c r="B271" s="1">
        <v>45157</v>
      </c>
      <c r="C271" t="s">
        <v>41</v>
      </c>
      <c r="D271" t="s">
        <v>42</v>
      </c>
      <c r="E271" t="s">
        <v>22</v>
      </c>
      <c r="F271" s="1">
        <v>45157</v>
      </c>
      <c r="G271" t="s">
        <v>41</v>
      </c>
      <c r="H271" t="s">
        <v>42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s="3">
        <f t="shared" si="35"/>
        <v>0</v>
      </c>
      <c r="Q271" t="str">
        <f t="shared" si="30"/>
        <v>NA</v>
      </c>
      <c r="R271" t="str">
        <f t="shared" si="31"/>
        <v>NA</v>
      </c>
      <c r="S271" t="str">
        <f t="shared" si="32"/>
        <v>NA</v>
      </c>
      <c r="T271" t="str">
        <f t="shared" si="33"/>
        <v>NA</v>
      </c>
      <c r="U271">
        <f t="shared" si="34"/>
        <v>0</v>
      </c>
    </row>
    <row r="272" spans="1:21">
      <c r="A272">
        <v>226</v>
      </c>
      <c r="B272" s="1">
        <v>45157</v>
      </c>
      <c r="C272" t="s">
        <v>48</v>
      </c>
      <c r="D272" t="s">
        <v>49</v>
      </c>
      <c r="E272" t="s">
        <v>22</v>
      </c>
      <c r="F272" s="1">
        <v>45157</v>
      </c>
      <c r="G272" t="s">
        <v>48</v>
      </c>
      <c r="H272" t="s">
        <v>49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s="3">
        <f t="shared" si="35"/>
        <v>0</v>
      </c>
      <c r="Q272" t="str">
        <f t="shared" si="30"/>
        <v>NA</v>
      </c>
      <c r="R272" t="str">
        <f t="shared" si="31"/>
        <v>NA</v>
      </c>
      <c r="S272" t="str">
        <f t="shared" si="32"/>
        <v>NA</v>
      </c>
      <c r="T272" t="str">
        <f t="shared" si="33"/>
        <v>NA</v>
      </c>
      <c r="U272">
        <f t="shared" si="34"/>
        <v>0</v>
      </c>
    </row>
    <row r="273" spans="1:21">
      <c r="A273">
        <v>227</v>
      </c>
      <c r="B273" s="1">
        <v>45157</v>
      </c>
      <c r="C273" t="s">
        <v>50</v>
      </c>
      <c r="D273" t="s">
        <v>51</v>
      </c>
      <c r="E273" t="s">
        <v>22</v>
      </c>
      <c r="F273" s="1">
        <v>45157</v>
      </c>
      <c r="G273" t="s">
        <v>50</v>
      </c>
      <c r="H273" t="s">
        <v>51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s="3">
        <f t="shared" si="35"/>
        <v>0</v>
      </c>
      <c r="Q273" t="str">
        <f t="shared" si="30"/>
        <v>NA</v>
      </c>
      <c r="R273" t="str">
        <f t="shared" si="31"/>
        <v>NA</v>
      </c>
      <c r="S273" t="str">
        <f t="shared" si="32"/>
        <v>NA</v>
      </c>
      <c r="T273" t="str">
        <f t="shared" si="33"/>
        <v>NA</v>
      </c>
      <c r="U273">
        <f t="shared" si="34"/>
        <v>0</v>
      </c>
    </row>
    <row r="274" spans="1:21">
      <c r="A274">
        <v>231</v>
      </c>
      <c r="B274" s="1">
        <v>45157</v>
      </c>
      <c r="C274" t="s">
        <v>61</v>
      </c>
      <c r="D274" t="s">
        <v>62</v>
      </c>
      <c r="E274" t="s">
        <v>15</v>
      </c>
      <c r="F274" s="1">
        <v>45157</v>
      </c>
      <c r="G274" t="s">
        <v>61</v>
      </c>
      <c r="H274" t="s">
        <v>62</v>
      </c>
      <c r="I274" t="s">
        <v>15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s="3">
        <f t="shared" si="35"/>
        <v>0</v>
      </c>
      <c r="Q274" t="str">
        <f t="shared" si="30"/>
        <v>NA</v>
      </c>
      <c r="R274" t="str">
        <f t="shared" si="31"/>
        <v>NA</v>
      </c>
      <c r="S274" t="str">
        <f t="shared" si="32"/>
        <v>NA</v>
      </c>
      <c r="T274" t="str">
        <f t="shared" si="33"/>
        <v>NA</v>
      </c>
      <c r="U274">
        <f t="shared" si="34"/>
        <v>0</v>
      </c>
    </row>
    <row r="275" spans="1:21">
      <c r="A275">
        <v>232</v>
      </c>
      <c r="B275" s="1">
        <v>45157</v>
      </c>
      <c r="C275" t="s">
        <v>63</v>
      </c>
      <c r="D275" t="s">
        <v>64</v>
      </c>
      <c r="E275" t="s">
        <v>127</v>
      </c>
      <c r="F275" s="1">
        <v>45157</v>
      </c>
      <c r="G275" t="s">
        <v>63</v>
      </c>
      <c r="H275" t="s">
        <v>64</v>
      </c>
      <c r="I275" t="s">
        <v>127</v>
      </c>
      <c r="J275" t="s">
        <v>22</v>
      </c>
      <c r="K275">
        <v>95</v>
      </c>
      <c r="L275" t="s">
        <v>22</v>
      </c>
      <c r="M275">
        <v>5</v>
      </c>
      <c r="N275" t="s">
        <v>22</v>
      </c>
      <c r="O275" t="s">
        <v>22</v>
      </c>
      <c r="P275" s="3">
        <f t="shared" si="35"/>
        <v>2</v>
      </c>
      <c r="Q275" t="str">
        <f t="shared" si="30"/>
        <v>NA</v>
      </c>
      <c r="R275" t="str">
        <f t="shared" si="31"/>
        <v>NA</v>
      </c>
      <c r="S275" t="str">
        <f t="shared" si="32"/>
        <v>NA</v>
      </c>
      <c r="T275" t="str">
        <f t="shared" si="33"/>
        <v>NA</v>
      </c>
      <c r="U275">
        <f t="shared" si="34"/>
        <v>0</v>
      </c>
    </row>
    <row r="276" spans="1:21">
      <c r="A276">
        <v>233</v>
      </c>
      <c r="B276" s="1">
        <v>45157</v>
      </c>
      <c r="C276" t="s">
        <v>66</v>
      </c>
      <c r="D276" t="s">
        <v>67</v>
      </c>
      <c r="E276" t="s">
        <v>65</v>
      </c>
      <c r="F276" s="1">
        <v>45157</v>
      </c>
      <c r="G276" t="s">
        <v>66</v>
      </c>
      <c r="H276" t="s">
        <v>67</v>
      </c>
      <c r="I276" t="s">
        <v>65</v>
      </c>
      <c r="J276" t="s">
        <v>22</v>
      </c>
      <c r="K276">
        <v>100</v>
      </c>
      <c r="L276" t="s">
        <v>22</v>
      </c>
      <c r="M276" t="s">
        <v>22</v>
      </c>
      <c r="N276" t="s">
        <v>22</v>
      </c>
      <c r="O276" t="s">
        <v>22</v>
      </c>
      <c r="P276" s="3">
        <f t="shared" si="35"/>
        <v>1</v>
      </c>
      <c r="Q276" t="str">
        <f t="shared" si="30"/>
        <v>NA</v>
      </c>
      <c r="R276" t="str">
        <f t="shared" si="31"/>
        <v>NA</v>
      </c>
      <c r="S276" t="str">
        <f t="shared" si="32"/>
        <v>NA</v>
      </c>
      <c r="T276" t="str">
        <f t="shared" si="33"/>
        <v>NA</v>
      </c>
      <c r="U276">
        <f t="shared" si="34"/>
        <v>0</v>
      </c>
    </row>
    <row r="277" spans="1:21">
      <c r="A277">
        <v>234</v>
      </c>
      <c r="B277" s="1">
        <v>45157</v>
      </c>
      <c r="C277" t="s">
        <v>68</v>
      </c>
      <c r="D277" t="s">
        <v>69</v>
      </c>
      <c r="E277" t="s">
        <v>15</v>
      </c>
      <c r="F277" s="1">
        <v>45157</v>
      </c>
      <c r="G277" t="s">
        <v>68</v>
      </c>
      <c r="H277" t="s">
        <v>69</v>
      </c>
      <c r="I277" t="s">
        <v>15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s="3">
        <f t="shared" si="35"/>
        <v>0</v>
      </c>
      <c r="Q277" t="str">
        <f t="shared" si="30"/>
        <v>NA</v>
      </c>
      <c r="R277" t="str">
        <f t="shared" si="31"/>
        <v>NA</v>
      </c>
      <c r="S277" t="str">
        <f t="shared" si="32"/>
        <v>NA</v>
      </c>
      <c r="T277" t="str">
        <f t="shared" si="33"/>
        <v>NA</v>
      </c>
      <c r="U277">
        <f t="shared" si="34"/>
        <v>0</v>
      </c>
    </row>
    <row r="278" spans="1:21">
      <c r="A278">
        <v>237</v>
      </c>
      <c r="B278" s="1">
        <v>45157</v>
      </c>
      <c r="C278" t="s">
        <v>74</v>
      </c>
      <c r="D278" t="s">
        <v>75</v>
      </c>
      <c r="E278" t="s">
        <v>58</v>
      </c>
      <c r="F278" s="1">
        <v>45157</v>
      </c>
      <c r="G278" t="s">
        <v>74</v>
      </c>
      <c r="H278" t="s">
        <v>75</v>
      </c>
      <c r="I278" t="s">
        <v>58</v>
      </c>
      <c r="J278" t="s">
        <v>22</v>
      </c>
      <c r="K278" t="s">
        <v>22</v>
      </c>
      <c r="L278" t="s">
        <v>22</v>
      </c>
      <c r="M278">
        <v>100</v>
      </c>
      <c r="N278" t="s">
        <v>22</v>
      </c>
      <c r="O278" t="s">
        <v>22</v>
      </c>
      <c r="P278" s="3">
        <f t="shared" si="35"/>
        <v>1</v>
      </c>
      <c r="Q278" t="str">
        <f t="shared" si="30"/>
        <v>NA</v>
      </c>
      <c r="R278" t="str">
        <f t="shared" si="31"/>
        <v>NA</v>
      </c>
      <c r="S278" t="str">
        <f t="shared" si="32"/>
        <v>NA</v>
      </c>
      <c r="T278" t="str">
        <f t="shared" si="33"/>
        <v>NA</v>
      </c>
      <c r="U278">
        <f t="shared" si="34"/>
        <v>0</v>
      </c>
    </row>
    <row r="279" spans="1:21">
      <c r="A279">
        <v>238</v>
      </c>
      <c r="B279" s="1">
        <v>45157</v>
      </c>
      <c r="C279" t="s">
        <v>77</v>
      </c>
      <c r="D279" t="s">
        <v>78</v>
      </c>
      <c r="E279" t="s">
        <v>22</v>
      </c>
      <c r="F279" s="1">
        <v>45157</v>
      </c>
      <c r="G279" t="s">
        <v>77</v>
      </c>
      <c r="H279" t="s">
        <v>78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s="3">
        <f t="shared" si="35"/>
        <v>0</v>
      </c>
      <c r="Q279" t="str">
        <f t="shared" si="30"/>
        <v>NA</v>
      </c>
      <c r="R279" t="str">
        <f t="shared" si="31"/>
        <v>NA</v>
      </c>
      <c r="S279" t="str">
        <f t="shared" si="32"/>
        <v>NA</v>
      </c>
      <c r="T279" t="str">
        <f t="shared" si="33"/>
        <v>NA</v>
      </c>
      <c r="U279">
        <f t="shared" si="34"/>
        <v>0</v>
      </c>
    </row>
    <row r="280" spans="1:21">
      <c r="A280">
        <v>239</v>
      </c>
      <c r="B280" s="1">
        <v>45157</v>
      </c>
      <c r="C280" t="s">
        <v>79</v>
      </c>
      <c r="D280" t="s">
        <v>80</v>
      </c>
      <c r="E280" t="s">
        <v>129</v>
      </c>
      <c r="F280" s="1">
        <v>45157</v>
      </c>
      <c r="G280" t="s">
        <v>79</v>
      </c>
      <c r="H280" t="s">
        <v>80</v>
      </c>
      <c r="I280" t="s">
        <v>129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  <c r="O280" t="s">
        <v>22</v>
      </c>
      <c r="P280" s="3">
        <f t="shared" si="35"/>
        <v>0</v>
      </c>
      <c r="Q280" t="str">
        <f t="shared" si="30"/>
        <v>NA</v>
      </c>
      <c r="R280" t="str">
        <f t="shared" si="31"/>
        <v>NA</v>
      </c>
      <c r="S280" t="str">
        <f t="shared" si="32"/>
        <v>NA</v>
      </c>
      <c r="T280" t="str">
        <f t="shared" si="33"/>
        <v>NA</v>
      </c>
      <c r="U280">
        <f t="shared" si="34"/>
        <v>0</v>
      </c>
    </row>
    <row r="281" spans="1:21">
      <c r="A281">
        <v>240</v>
      </c>
      <c r="B281" s="1">
        <v>45157</v>
      </c>
      <c r="C281" t="s">
        <v>90</v>
      </c>
      <c r="D281" t="s">
        <v>130</v>
      </c>
      <c r="E281" t="s">
        <v>15</v>
      </c>
      <c r="F281" s="1">
        <v>45157</v>
      </c>
      <c r="G281" t="s">
        <v>90</v>
      </c>
      <c r="H281" t="s">
        <v>130</v>
      </c>
      <c r="I281" t="s">
        <v>15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s="3">
        <f t="shared" si="35"/>
        <v>0</v>
      </c>
      <c r="Q281" t="str">
        <f t="shared" si="30"/>
        <v>NA</v>
      </c>
      <c r="R281" t="str">
        <f t="shared" si="31"/>
        <v>NA</v>
      </c>
      <c r="S281" t="str">
        <f t="shared" si="32"/>
        <v>NA</v>
      </c>
      <c r="T281" t="str">
        <f t="shared" si="33"/>
        <v>NA</v>
      </c>
      <c r="U281">
        <f t="shared" si="34"/>
        <v>0</v>
      </c>
    </row>
    <row r="282" spans="1:21">
      <c r="A282">
        <v>241</v>
      </c>
      <c r="B282" s="1">
        <v>45174</v>
      </c>
      <c r="C282" t="s">
        <v>13</v>
      </c>
      <c r="D282" t="s">
        <v>14</v>
      </c>
      <c r="E282" t="s">
        <v>22</v>
      </c>
      <c r="F282" s="1">
        <v>45174</v>
      </c>
      <c r="G282" t="s">
        <v>13</v>
      </c>
      <c r="H282" t="s">
        <v>14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s="3">
        <f t="shared" si="35"/>
        <v>0</v>
      </c>
      <c r="Q282" t="str">
        <f t="shared" si="30"/>
        <v>NA</v>
      </c>
      <c r="R282" t="str">
        <f t="shared" si="31"/>
        <v>NA</v>
      </c>
      <c r="S282" t="str">
        <f t="shared" si="32"/>
        <v>NA</v>
      </c>
      <c r="T282" t="str">
        <f t="shared" si="33"/>
        <v>NA</v>
      </c>
      <c r="U282">
        <f t="shared" si="34"/>
        <v>0</v>
      </c>
    </row>
    <row r="283" spans="1:21">
      <c r="A283">
        <v>243</v>
      </c>
      <c r="B283" s="1">
        <v>45174</v>
      </c>
      <c r="C283" t="s">
        <v>20</v>
      </c>
      <c r="D283" t="s">
        <v>21</v>
      </c>
      <c r="E283" t="s">
        <v>22</v>
      </c>
      <c r="F283" s="1">
        <v>45174</v>
      </c>
      <c r="G283" t="s">
        <v>20</v>
      </c>
      <c r="H283" t="s">
        <v>21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s="3">
        <f t="shared" si="35"/>
        <v>0</v>
      </c>
      <c r="Q283" t="str">
        <f t="shared" si="30"/>
        <v>NA</v>
      </c>
      <c r="R283" t="str">
        <f t="shared" si="31"/>
        <v>NA</v>
      </c>
      <c r="S283" t="str">
        <f t="shared" si="32"/>
        <v>NA</v>
      </c>
      <c r="T283" t="str">
        <f t="shared" si="33"/>
        <v>NA</v>
      </c>
      <c r="U283">
        <f t="shared" si="34"/>
        <v>0</v>
      </c>
    </row>
    <row r="284" spans="1:21">
      <c r="A284">
        <v>245</v>
      </c>
      <c r="B284" s="1">
        <v>45174</v>
      </c>
      <c r="C284" t="s">
        <v>25</v>
      </c>
      <c r="D284" t="s">
        <v>26</v>
      </c>
      <c r="E284" t="s">
        <v>15</v>
      </c>
      <c r="F284" s="1">
        <v>45174</v>
      </c>
      <c r="G284" t="s">
        <v>25</v>
      </c>
      <c r="H284" t="s">
        <v>26</v>
      </c>
      <c r="I284" t="s">
        <v>15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s="3">
        <f t="shared" si="35"/>
        <v>0</v>
      </c>
      <c r="Q284" t="str">
        <f t="shared" si="30"/>
        <v>NA</v>
      </c>
      <c r="R284" t="str">
        <f t="shared" si="31"/>
        <v>NA</v>
      </c>
      <c r="S284" t="str">
        <f t="shared" si="32"/>
        <v>NA</v>
      </c>
      <c r="T284" t="str">
        <f t="shared" si="33"/>
        <v>NA</v>
      </c>
      <c r="U284">
        <f t="shared" si="34"/>
        <v>0</v>
      </c>
    </row>
    <row r="285" spans="1:21">
      <c r="A285">
        <v>246</v>
      </c>
      <c r="B285" s="1">
        <v>45174</v>
      </c>
      <c r="C285" t="s">
        <v>27</v>
      </c>
      <c r="D285" t="s">
        <v>28</v>
      </c>
      <c r="E285" t="s">
        <v>22</v>
      </c>
      <c r="F285" s="1">
        <v>45174</v>
      </c>
      <c r="G285" t="s">
        <v>27</v>
      </c>
      <c r="H285" t="s">
        <v>28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s="3">
        <f t="shared" si="35"/>
        <v>0</v>
      </c>
      <c r="Q285" t="str">
        <f t="shared" si="30"/>
        <v>NA</v>
      </c>
      <c r="R285" t="str">
        <f t="shared" si="31"/>
        <v>NA</v>
      </c>
      <c r="S285" t="str">
        <f t="shared" si="32"/>
        <v>NA</v>
      </c>
      <c r="T285" t="str">
        <f t="shared" si="33"/>
        <v>NA</v>
      </c>
      <c r="U285">
        <f t="shared" si="34"/>
        <v>0</v>
      </c>
    </row>
    <row r="286" spans="1:21">
      <c r="A286">
        <v>247</v>
      </c>
      <c r="B286" s="1">
        <v>45174</v>
      </c>
      <c r="C286" t="s">
        <v>29</v>
      </c>
      <c r="D286" t="s">
        <v>30</v>
      </c>
      <c r="E286" t="s">
        <v>22</v>
      </c>
      <c r="F286" s="1">
        <v>45174</v>
      </c>
      <c r="G286" t="s">
        <v>29</v>
      </c>
      <c r="H286" t="s">
        <v>30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s="3">
        <f t="shared" si="35"/>
        <v>0</v>
      </c>
      <c r="Q286" t="str">
        <f t="shared" si="30"/>
        <v>NA</v>
      </c>
      <c r="R286" t="str">
        <f t="shared" si="31"/>
        <v>NA</v>
      </c>
      <c r="S286" t="str">
        <f t="shared" si="32"/>
        <v>NA</v>
      </c>
      <c r="T286" t="str">
        <f t="shared" si="33"/>
        <v>NA</v>
      </c>
      <c r="U286">
        <f t="shared" si="34"/>
        <v>0</v>
      </c>
    </row>
    <row r="287" spans="1:21">
      <c r="A287">
        <v>248</v>
      </c>
      <c r="B287" s="1">
        <v>45174</v>
      </c>
      <c r="C287" t="s">
        <v>31</v>
      </c>
      <c r="D287" t="s">
        <v>32</v>
      </c>
      <c r="E287" t="s">
        <v>22</v>
      </c>
      <c r="F287" s="1">
        <v>45174</v>
      </c>
      <c r="G287" t="s">
        <v>31</v>
      </c>
      <c r="H287" t="s">
        <v>32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s="3">
        <f t="shared" si="35"/>
        <v>0</v>
      </c>
      <c r="Q287" t="str">
        <f t="shared" si="30"/>
        <v>NA</v>
      </c>
      <c r="R287" t="str">
        <f t="shared" si="31"/>
        <v>NA</v>
      </c>
      <c r="S287" t="str">
        <f t="shared" si="32"/>
        <v>NA</v>
      </c>
      <c r="T287" t="str">
        <f t="shared" si="33"/>
        <v>NA</v>
      </c>
      <c r="U287">
        <f t="shared" si="34"/>
        <v>0</v>
      </c>
    </row>
    <row r="288" spans="1:21">
      <c r="A288">
        <v>249</v>
      </c>
      <c r="B288" s="1">
        <v>45174</v>
      </c>
      <c r="C288" t="s">
        <v>33</v>
      </c>
      <c r="D288" t="s">
        <v>34</v>
      </c>
      <c r="E288" t="s">
        <v>65</v>
      </c>
      <c r="F288" s="1">
        <v>45174</v>
      </c>
      <c r="G288" t="s">
        <v>33</v>
      </c>
      <c r="H288" t="s">
        <v>34</v>
      </c>
      <c r="I288" t="s">
        <v>65</v>
      </c>
      <c r="J288" t="s">
        <v>22</v>
      </c>
      <c r="K288">
        <v>100</v>
      </c>
      <c r="L288" t="s">
        <v>22</v>
      </c>
      <c r="M288" t="s">
        <v>22</v>
      </c>
      <c r="N288" t="s">
        <v>22</v>
      </c>
      <c r="O288" t="s">
        <v>22</v>
      </c>
      <c r="P288" s="3">
        <f t="shared" si="35"/>
        <v>1</v>
      </c>
      <c r="Q288" t="str">
        <f t="shared" si="30"/>
        <v>NA</v>
      </c>
      <c r="R288" t="str">
        <f t="shared" si="31"/>
        <v>NA</v>
      </c>
      <c r="S288" t="str">
        <f t="shared" si="32"/>
        <v>NA</v>
      </c>
      <c r="T288" t="str">
        <f t="shared" si="33"/>
        <v>NA</v>
      </c>
      <c r="U288">
        <f t="shared" si="34"/>
        <v>0</v>
      </c>
    </row>
    <row r="289" spans="1:21">
      <c r="A289">
        <v>250</v>
      </c>
      <c r="B289" s="1">
        <v>45174</v>
      </c>
      <c r="C289" t="s">
        <v>35</v>
      </c>
      <c r="D289" t="s">
        <v>36</v>
      </c>
      <c r="E289" t="s">
        <v>15</v>
      </c>
      <c r="F289" s="1">
        <v>45174</v>
      </c>
      <c r="G289" t="s">
        <v>35</v>
      </c>
      <c r="H289" t="s">
        <v>36</v>
      </c>
      <c r="I289" t="s">
        <v>15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s="3">
        <f t="shared" si="35"/>
        <v>0</v>
      </c>
      <c r="Q289" t="str">
        <f t="shared" si="30"/>
        <v>NA</v>
      </c>
      <c r="R289" t="str">
        <f t="shared" si="31"/>
        <v>NA</v>
      </c>
      <c r="S289" t="str">
        <f t="shared" si="32"/>
        <v>NA</v>
      </c>
      <c r="T289" t="str">
        <f t="shared" si="33"/>
        <v>NA</v>
      </c>
      <c r="U289">
        <f t="shared" si="34"/>
        <v>0</v>
      </c>
    </row>
    <row r="290" spans="1:21">
      <c r="A290">
        <v>251</v>
      </c>
      <c r="B290" s="1">
        <v>45174</v>
      </c>
      <c r="C290" t="s">
        <v>37</v>
      </c>
      <c r="D290" t="s">
        <v>38</v>
      </c>
      <c r="E290" t="s">
        <v>22</v>
      </c>
      <c r="F290" s="1">
        <v>45174</v>
      </c>
      <c r="G290" t="s">
        <v>37</v>
      </c>
      <c r="H290" t="s">
        <v>38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s="3">
        <f t="shared" si="35"/>
        <v>0</v>
      </c>
      <c r="Q290" t="str">
        <f t="shared" si="30"/>
        <v>NA</v>
      </c>
      <c r="R290" t="str">
        <f t="shared" si="31"/>
        <v>NA</v>
      </c>
      <c r="S290" t="str">
        <f t="shared" si="32"/>
        <v>NA</v>
      </c>
      <c r="T290" t="str">
        <f t="shared" si="33"/>
        <v>NA</v>
      </c>
      <c r="U290">
        <f t="shared" si="34"/>
        <v>0</v>
      </c>
    </row>
    <row r="291" spans="1:21">
      <c r="A291">
        <v>252</v>
      </c>
      <c r="B291" s="1">
        <v>45174</v>
      </c>
      <c r="C291" t="s">
        <v>39</v>
      </c>
      <c r="D291" t="s">
        <v>40</v>
      </c>
      <c r="E291" t="s">
        <v>65</v>
      </c>
      <c r="F291" s="1">
        <v>45174</v>
      </c>
      <c r="G291" t="s">
        <v>39</v>
      </c>
      <c r="H291" t="s">
        <v>40</v>
      </c>
      <c r="I291" t="s">
        <v>65</v>
      </c>
      <c r="J291" t="s">
        <v>22</v>
      </c>
      <c r="K291">
        <v>100</v>
      </c>
      <c r="L291" t="s">
        <v>22</v>
      </c>
      <c r="M291" t="s">
        <v>22</v>
      </c>
      <c r="N291" t="s">
        <v>22</v>
      </c>
      <c r="O291" t="s">
        <v>22</v>
      </c>
      <c r="P291" s="3">
        <f t="shared" si="35"/>
        <v>1</v>
      </c>
      <c r="Q291" t="str">
        <f t="shared" si="30"/>
        <v>NA</v>
      </c>
      <c r="R291" t="str">
        <f t="shared" si="31"/>
        <v>NA</v>
      </c>
      <c r="S291" t="str">
        <f t="shared" si="32"/>
        <v>NA</v>
      </c>
      <c r="T291" t="str">
        <f t="shared" si="33"/>
        <v>NA</v>
      </c>
      <c r="U291">
        <f t="shared" si="34"/>
        <v>0</v>
      </c>
    </row>
    <row r="292" spans="1:21">
      <c r="A292">
        <v>253</v>
      </c>
      <c r="B292" s="1">
        <v>45174</v>
      </c>
      <c r="C292" t="s">
        <v>41</v>
      </c>
      <c r="D292" t="s">
        <v>42</v>
      </c>
      <c r="E292" t="s">
        <v>22</v>
      </c>
      <c r="F292" s="1">
        <v>45174</v>
      </c>
      <c r="G292" t="s">
        <v>41</v>
      </c>
      <c r="H292" t="s">
        <v>42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s="3">
        <f t="shared" si="35"/>
        <v>0</v>
      </c>
      <c r="Q292" t="str">
        <f t="shared" si="30"/>
        <v>NA</v>
      </c>
      <c r="R292" t="str">
        <f t="shared" si="31"/>
        <v>NA</v>
      </c>
      <c r="S292" t="str">
        <f t="shared" si="32"/>
        <v>NA</v>
      </c>
      <c r="T292" t="str">
        <f t="shared" si="33"/>
        <v>NA</v>
      </c>
      <c r="U292">
        <f t="shared" si="34"/>
        <v>0</v>
      </c>
    </row>
    <row r="293" spans="1:21">
      <c r="A293">
        <v>257</v>
      </c>
      <c r="B293" s="1">
        <v>45174</v>
      </c>
      <c r="C293" t="s">
        <v>50</v>
      </c>
      <c r="D293" t="s">
        <v>51</v>
      </c>
      <c r="E293" t="s">
        <v>15</v>
      </c>
      <c r="F293" s="1">
        <v>45174</v>
      </c>
      <c r="G293" t="s">
        <v>50</v>
      </c>
      <c r="H293" t="s">
        <v>51</v>
      </c>
      <c r="I293" t="s">
        <v>15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s="3">
        <f t="shared" si="35"/>
        <v>0</v>
      </c>
      <c r="Q293" t="str">
        <f t="shared" si="30"/>
        <v>NA</v>
      </c>
      <c r="R293" t="str">
        <f t="shared" si="31"/>
        <v>NA</v>
      </c>
      <c r="S293" t="str">
        <f t="shared" si="32"/>
        <v>NA</v>
      </c>
      <c r="T293" t="str">
        <f t="shared" si="33"/>
        <v>NA</v>
      </c>
      <c r="U293">
        <f t="shared" si="34"/>
        <v>0</v>
      </c>
    </row>
    <row r="294" spans="1:21">
      <c r="A294">
        <v>258</v>
      </c>
      <c r="B294" s="1">
        <v>45174</v>
      </c>
      <c r="C294" t="s">
        <v>53</v>
      </c>
      <c r="D294" t="s">
        <v>54</v>
      </c>
      <c r="E294" t="s">
        <v>22</v>
      </c>
      <c r="F294" s="1">
        <v>45174</v>
      </c>
      <c r="G294" t="s">
        <v>53</v>
      </c>
      <c r="H294" t="s">
        <v>54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s="3">
        <f t="shared" si="35"/>
        <v>0</v>
      </c>
      <c r="Q294" t="str">
        <f t="shared" si="30"/>
        <v>NA</v>
      </c>
      <c r="R294" t="str">
        <f t="shared" si="31"/>
        <v>NA</v>
      </c>
      <c r="S294" t="str">
        <f t="shared" si="32"/>
        <v>NA</v>
      </c>
      <c r="T294" t="str">
        <f t="shared" si="33"/>
        <v>NA</v>
      </c>
      <c r="U294">
        <f t="shared" si="34"/>
        <v>0</v>
      </c>
    </row>
    <row r="295" spans="1:21">
      <c r="A295">
        <v>259</v>
      </c>
      <c r="B295" s="1">
        <v>45174</v>
      </c>
      <c r="C295" t="s">
        <v>56</v>
      </c>
      <c r="D295" t="s">
        <v>57</v>
      </c>
      <c r="E295" t="s">
        <v>65</v>
      </c>
      <c r="F295" s="1">
        <v>45174</v>
      </c>
      <c r="G295" t="s">
        <v>56</v>
      </c>
      <c r="H295" t="s">
        <v>57</v>
      </c>
      <c r="I295" t="s">
        <v>65</v>
      </c>
      <c r="J295" t="s">
        <v>22</v>
      </c>
      <c r="K295">
        <v>100</v>
      </c>
      <c r="L295" t="s">
        <v>22</v>
      </c>
      <c r="M295" t="s">
        <v>22</v>
      </c>
      <c r="N295" t="s">
        <v>22</v>
      </c>
      <c r="O295" t="s">
        <v>22</v>
      </c>
      <c r="P295" s="3">
        <f t="shared" si="35"/>
        <v>1</v>
      </c>
      <c r="Q295" t="str">
        <f t="shared" si="30"/>
        <v>NA</v>
      </c>
      <c r="R295" t="str">
        <f t="shared" si="31"/>
        <v>NA</v>
      </c>
      <c r="S295" t="str">
        <f t="shared" si="32"/>
        <v>NA</v>
      </c>
      <c r="T295" t="str">
        <f t="shared" si="33"/>
        <v>NA</v>
      </c>
      <c r="U295">
        <f t="shared" si="34"/>
        <v>0</v>
      </c>
    </row>
    <row r="296" spans="1:21">
      <c r="A296">
        <v>261</v>
      </c>
      <c r="B296" s="1">
        <v>45174</v>
      </c>
      <c r="C296" t="s">
        <v>61</v>
      </c>
      <c r="D296" t="s">
        <v>62</v>
      </c>
      <c r="E296" t="s">
        <v>15</v>
      </c>
      <c r="F296" s="1">
        <v>45174</v>
      </c>
      <c r="G296" t="s">
        <v>61</v>
      </c>
      <c r="H296" t="s">
        <v>62</v>
      </c>
      <c r="I296" t="s">
        <v>15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s="3">
        <f t="shared" si="35"/>
        <v>0</v>
      </c>
      <c r="Q296" t="str">
        <f t="shared" si="30"/>
        <v>NA</v>
      </c>
      <c r="R296" t="str">
        <f t="shared" si="31"/>
        <v>NA</v>
      </c>
      <c r="S296" t="str">
        <f t="shared" si="32"/>
        <v>NA</v>
      </c>
      <c r="T296" t="str">
        <f t="shared" si="33"/>
        <v>NA</v>
      </c>
      <c r="U296">
        <f t="shared" si="34"/>
        <v>0</v>
      </c>
    </row>
    <row r="297" spans="1:21">
      <c r="A297">
        <v>264</v>
      </c>
      <c r="B297" s="1">
        <v>45174</v>
      </c>
      <c r="C297" t="s">
        <v>68</v>
      </c>
      <c r="D297" t="s">
        <v>69</v>
      </c>
      <c r="E297" t="s">
        <v>65</v>
      </c>
      <c r="F297" s="1">
        <v>45174</v>
      </c>
      <c r="G297" t="s">
        <v>68</v>
      </c>
      <c r="H297" t="s">
        <v>69</v>
      </c>
      <c r="I297" t="s">
        <v>65</v>
      </c>
      <c r="J297" t="s">
        <v>22</v>
      </c>
      <c r="K297">
        <v>100</v>
      </c>
      <c r="L297" t="s">
        <v>22</v>
      </c>
      <c r="M297" t="s">
        <v>22</v>
      </c>
      <c r="N297" t="s">
        <v>22</v>
      </c>
      <c r="O297" t="s">
        <v>22</v>
      </c>
      <c r="P297" s="3">
        <f t="shared" si="35"/>
        <v>1</v>
      </c>
      <c r="Q297" t="str">
        <f t="shared" si="30"/>
        <v>NA</v>
      </c>
      <c r="R297" t="str">
        <f t="shared" si="31"/>
        <v>NA</v>
      </c>
      <c r="S297" t="str">
        <f t="shared" si="32"/>
        <v>NA</v>
      </c>
      <c r="T297" t="str">
        <f t="shared" si="33"/>
        <v>NA</v>
      </c>
      <c r="U297">
        <f t="shared" si="34"/>
        <v>0</v>
      </c>
    </row>
    <row r="298" spans="1:21">
      <c r="A298">
        <v>265</v>
      </c>
      <c r="B298" s="1">
        <v>45174</v>
      </c>
      <c r="C298" t="s">
        <v>70</v>
      </c>
      <c r="D298" t="s">
        <v>71</v>
      </c>
      <c r="E298" t="s">
        <v>65</v>
      </c>
      <c r="F298" s="1">
        <v>45174</v>
      </c>
      <c r="G298" t="s">
        <v>70</v>
      </c>
      <c r="H298" t="s">
        <v>71</v>
      </c>
      <c r="I298" t="s">
        <v>65</v>
      </c>
      <c r="J298" t="s">
        <v>22</v>
      </c>
      <c r="K298">
        <v>100</v>
      </c>
      <c r="L298" t="s">
        <v>22</v>
      </c>
      <c r="M298" t="s">
        <v>22</v>
      </c>
      <c r="N298" t="s">
        <v>22</v>
      </c>
      <c r="O298" t="s">
        <v>22</v>
      </c>
      <c r="P298" s="3">
        <f t="shared" si="35"/>
        <v>1</v>
      </c>
      <c r="Q298" t="str">
        <f t="shared" si="30"/>
        <v>NA</v>
      </c>
      <c r="R298" t="str">
        <f t="shared" si="31"/>
        <v>NA</v>
      </c>
      <c r="S298" t="str">
        <f t="shared" si="32"/>
        <v>NA</v>
      </c>
      <c r="T298" t="str">
        <f t="shared" si="33"/>
        <v>NA</v>
      </c>
      <c r="U298">
        <f t="shared" si="34"/>
        <v>0</v>
      </c>
    </row>
    <row r="299" spans="1:21">
      <c r="A299">
        <v>266</v>
      </c>
      <c r="B299" s="1">
        <v>45174</v>
      </c>
      <c r="C299" t="s">
        <v>72</v>
      </c>
      <c r="D299" t="s">
        <v>73</v>
      </c>
      <c r="E299" t="s">
        <v>65</v>
      </c>
      <c r="F299" s="1">
        <v>45174</v>
      </c>
      <c r="G299" t="s">
        <v>72</v>
      </c>
      <c r="H299" t="s">
        <v>73</v>
      </c>
      <c r="I299" t="s">
        <v>65</v>
      </c>
      <c r="J299" t="s">
        <v>22</v>
      </c>
      <c r="K299">
        <v>100</v>
      </c>
      <c r="L299" t="s">
        <v>22</v>
      </c>
      <c r="M299" t="s">
        <v>22</v>
      </c>
      <c r="N299" t="s">
        <v>22</v>
      </c>
      <c r="O299" t="s">
        <v>22</v>
      </c>
      <c r="P299" s="3">
        <f t="shared" si="35"/>
        <v>1</v>
      </c>
      <c r="Q299" t="str">
        <f t="shared" si="30"/>
        <v>NA</v>
      </c>
      <c r="R299" t="str">
        <f t="shared" si="31"/>
        <v>NA</v>
      </c>
      <c r="S299" t="str">
        <f t="shared" si="32"/>
        <v>NA</v>
      </c>
      <c r="T299" t="str">
        <f t="shared" si="33"/>
        <v>NA</v>
      </c>
      <c r="U299">
        <f t="shared" si="34"/>
        <v>0</v>
      </c>
    </row>
    <row r="300" spans="1:21">
      <c r="A300">
        <v>267</v>
      </c>
      <c r="B300" s="1">
        <v>45174</v>
      </c>
      <c r="C300" t="s">
        <v>74</v>
      </c>
      <c r="D300" t="s">
        <v>75</v>
      </c>
      <c r="E300" t="s">
        <v>22</v>
      </c>
      <c r="F300" s="1">
        <v>45174</v>
      </c>
      <c r="G300" t="s">
        <v>74</v>
      </c>
      <c r="H300" t="s">
        <v>75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s="3">
        <f t="shared" si="35"/>
        <v>0</v>
      </c>
      <c r="Q300" t="str">
        <f t="shared" si="30"/>
        <v>NA</v>
      </c>
      <c r="R300" t="str">
        <f t="shared" si="31"/>
        <v>NA</v>
      </c>
      <c r="S300" t="str">
        <f t="shared" si="32"/>
        <v>NA</v>
      </c>
      <c r="T300" t="str">
        <f t="shared" si="33"/>
        <v>NA</v>
      </c>
      <c r="U300">
        <f t="shared" si="34"/>
        <v>0</v>
      </c>
    </row>
    <row r="301" spans="1:21">
      <c r="A301">
        <v>268</v>
      </c>
      <c r="B301" s="1">
        <v>45174</v>
      </c>
      <c r="C301" t="s">
        <v>77</v>
      </c>
      <c r="D301" t="s">
        <v>78</v>
      </c>
      <c r="E301" t="s">
        <v>22</v>
      </c>
      <c r="F301" s="1">
        <v>45174</v>
      </c>
      <c r="G301" t="s">
        <v>77</v>
      </c>
      <c r="H301" t="s">
        <v>78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s="3">
        <f t="shared" si="35"/>
        <v>0</v>
      </c>
      <c r="Q301" t="str">
        <f t="shared" si="30"/>
        <v>NA</v>
      </c>
      <c r="R301" t="str">
        <f t="shared" si="31"/>
        <v>NA</v>
      </c>
      <c r="S301" t="str">
        <f t="shared" si="32"/>
        <v>NA</v>
      </c>
      <c r="T301" t="str">
        <f t="shared" si="33"/>
        <v>NA</v>
      </c>
      <c r="U301">
        <f t="shared" si="34"/>
        <v>0</v>
      </c>
    </row>
    <row r="302" spans="1:21">
      <c r="A302">
        <v>269</v>
      </c>
      <c r="B302" s="1">
        <v>45174</v>
      </c>
      <c r="C302" t="s">
        <v>79</v>
      </c>
      <c r="D302" t="s">
        <v>80</v>
      </c>
      <c r="E302" t="s">
        <v>15</v>
      </c>
      <c r="F302" s="1">
        <v>45174</v>
      </c>
      <c r="G302" t="s">
        <v>79</v>
      </c>
      <c r="H302" t="s">
        <v>80</v>
      </c>
      <c r="I302" t="s">
        <v>15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s="3">
        <f t="shared" si="35"/>
        <v>0</v>
      </c>
      <c r="Q302" t="str">
        <f t="shared" si="30"/>
        <v>NA</v>
      </c>
      <c r="R302" t="str">
        <f t="shared" si="31"/>
        <v>NA</v>
      </c>
      <c r="S302" t="str">
        <f t="shared" si="32"/>
        <v>NA</v>
      </c>
      <c r="T302" t="str">
        <f t="shared" si="33"/>
        <v>NA</v>
      </c>
      <c r="U302">
        <f t="shared" si="34"/>
        <v>0</v>
      </c>
    </row>
    <row r="303" spans="1:21">
      <c r="A303">
        <v>270</v>
      </c>
      <c r="B303" s="1">
        <v>45174</v>
      </c>
      <c r="C303" t="s">
        <v>114</v>
      </c>
      <c r="D303" t="s">
        <v>130</v>
      </c>
      <c r="E303">
        <v>0</v>
      </c>
      <c r="F303" s="1">
        <v>45174</v>
      </c>
      <c r="G303" t="s">
        <v>114</v>
      </c>
      <c r="H303" t="s">
        <v>130</v>
      </c>
      <c r="I303">
        <v>0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s="3">
        <f t="shared" si="35"/>
        <v>0</v>
      </c>
      <c r="Q303" t="str">
        <f t="shared" si="30"/>
        <v>NA</v>
      </c>
      <c r="R303" t="str">
        <f t="shared" si="31"/>
        <v>NA</v>
      </c>
      <c r="S303" t="str">
        <f t="shared" si="32"/>
        <v>NA</v>
      </c>
      <c r="T303" t="str">
        <f t="shared" si="33"/>
        <v>NA</v>
      </c>
      <c r="U303">
        <f t="shared" si="34"/>
        <v>0</v>
      </c>
    </row>
    <row r="304" spans="1:21">
      <c r="A304">
        <v>271</v>
      </c>
      <c r="B304" s="1">
        <v>45185</v>
      </c>
      <c r="C304" t="s">
        <v>13</v>
      </c>
      <c r="D304" t="s">
        <v>14</v>
      </c>
      <c r="E304" t="s">
        <v>15</v>
      </c>
      <c r="F304" s="1">
        <v>45185</v>
      </c>
      <c r="G304" t="s">
        <v>13</v>
      </c>
      <c r="H304" t="s">
        <v>14</v>
      </c>
      <c r="I304" t="s">
        <v>15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s="3">
        <f t="shared" si="35"/>
        <v>0</v>
      </c>
      <c r="Q304" t="str">
        <f t="shared" si="30"/>
        <v>NA</v>
      </c>
      <c r="R304" t="str">
        <f t="shared" si="31"/>
        <v>NA</v>
      </c>
      <c r="S304" t="str">
        <f t="shared" si="32"/>
        <v>NA</v>
      </c>
      <c r="T304" t="str">
        <f t="shared" si="33"/>
        <v>NA</v>
      </c>
      <c r="U304">
        <f t="shared" si="34"/>
        <v>0</v>
      </c>
    </row>
    <row r="305" spans="1:21">
      <c r="A305">
        <v>272</v>
      </c>
      <c r="B305" s="1">
        <v>45185</v>
      </c>
      <c r="C305" t="s">
        <v>16</v>
      </c>
      <c r="D305" t="s">
        <v>17</v>
      </c>
      <c r="E305" t="s">
        <v>22</v>
      </c>
      <c r="F305" s="1">
        <v>45185</v>
      </c>
      <c r="G305" t="s">
        <v>16</v>
      </c>
      <c r="H305" t="s">
        <v>17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s="3">
        <f t="shared" si="35"/>
        <v>0</v>
      </c>
      <c r="Q305" t="str">
        <f t="shared" si="30"/>
        <v>NA</v>
      </c>
      <c r="R305" t="str">
        <f t="shared" si="31"/>
        <v>NA</v>
      </c>
      <c r="S305" t="str">
        <f t="shared" si="32"/>
        <v>NA</v>
      </c>
      <c r="T305" t="str">
        <f t="shared" si="33"/>
        <v>NA</v>
      </c>
      <c r="U305">
        <f t="shared" si="34"/>
        <v>0</v>
      </c>
    </row>
    <row r="306" spans="1:21">
      <c r="A306">
        <v>273</v>
      </c>
      <c r="B306" s="1">
        <v>45185</v>
      </c>
      <c r="C306" t="s">
        <v>20</v>
      </c>
      <c r="D306" t="s">
        <v>21</v>
      </c>
      <c r="E306" t="s">
        <v>22</v>
      </c>
      <c r="F306" s="1">
        <v>45185</v>
      </c>
      <c r="G306" t="s">
        <v>20</v>
      </c>
      <c r="H306" t="s">
        <v>21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s="3">
        <f t="shared" si="35"/>
        <v>0</v>
      </c>
      <c r="Q306" t="str">
        <f t="shared" si="30"/>
        <v>NA</v>
      </c>
      <c r="R306" t="str">
        <f t="shared" si="31"/>
        <v>NA</v>
      </c>
      <c r="S306" t="str">
        <f t="shared" si="32"/>
        <v>NA</v>
      </c>
      <c r="T306" t="str">
        <f t="shared" si="33"/>
        <v>NA</v>
      </c>
      <c r="U306">
        <f t="shared" si="34"/>
        <v>0</v>
      </c>
    </row>
    <row r="307" spans="1:21">
      <c r="A307">
        <v>275</v>
      </c>
      <c r="B307" s="1">
        <v>45185</v>
      </c>
      <c r="C307" t="s">
        <v>25</v>
      </c>
      <c r="D307" t="s">
        <v>26</v>
      </c>
      <c r="E307" t="s">
        <v>58</v>
      </c>
      <c r="F307" s="1">
        <v>45185</v>
      </c>
      <c r="G307" t="s">
        <v>25</v>
      </c>
      <c r="H307" t="s">
        <v>26</v>
      </c>
      <c r="I307" t="s">
        <v>58</v>
      </c>
      <c r="J307" t="s">
        <v>22</v>
      </c>
      <c r="K307" t="s">
        <v>22</v>
      </c>
      <c r="L307" t="s">
        <v>22</v>
      </c>
      <c r="M307">
        <v>100</v>
      </c>
      <c r="N307" t="s">
        <v>22</v>
      </c>
      <c r="O307" t="s">
        <v>22</v>
      </c>
      <c r="P307" s="3">
        <f t="shared" si="35"/>
        <v>1</v>
      </c>
      <c r="Q307" t="str">
        <f t="shared" si="30"/>
        <v>NA</v>
      </c>
      <c r="R307" t="str">
        <f t="shared" si="31"/>
        <v>NA</v>
      </c>
      <c r="S307" t="str">
        <f t="shared" si="32"/>
        <v>NA</v>
      </c>
      <c r="T307" t="str">
        <f t="shared" si="33"/>
        <v>NA</v>
      </c>
      <c r="U307">
        <f t="shared" si="34"/>
        <v>0</v>
      </c>
    </row>
    <row r="308" spans="1:21">
      <c r="A308">
        <v>276</v>
      </c>
      <c r="B308" s="1">
        <v>45185</v>
      </c>
      <c r="C308" t="s">
        <v>27</v>
      </c>
      <c r="D308" t="s">
        <v>28</v>
      </c>
      <c r="E308" t="s">
        <v>15</v>
      </c>
      <c r="F308" s="1">
        <v>45185</v>
      </c>
      <c r="G308" t="s">
        <v>27</v>
      </c>
      <c r="H308" t="s">
        <v>28</v>
      </c>
      <c r="I308" t="s">
        <v>15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s="3">
        <f t="shared" si="35"/>
        <v>0</v>
      </c>
      <c r="Q308" t="str">
        <f t="shared" si="30"/>
        <v>NA</v>
      </c>
      <c r="R308" t="str">
        <f t="shared" si="31"/>
        <v>NA</v>
      </c>
      <c r="S308" t="str">
        <f t="shared" si="32"/>
        <v>NA</v>
      </c>
      <c r="T308" t="str">
        <f t="shared" si="33"/>
        <v>NA</v>
      </c>
      <c r="U308">
        <f t="shared" si="34"/>
        <v>0</v>
      </c>
    </row>
    <row r="309" spans="1:21">
      <c r="A309">
        <v>277</v>
      </c>
      <c r="B309" s="1">
        <v>45185</v>
      </c>
      <c r="C309" t="s">
        <v>29</v>
      </c>
      <c r="D309" t="s">
        <v>30</v>
      </c>
      <c r="E309" t="s">
        <v>22</v>
      </c>
      <c r="F309" s="1">
        <v>45185</v>
      </c>
      <c r="G309" t="s">
        <v>29</v>
      </c>
      <c r="H309" t="s">
        <v>30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s="3">
        <f t="shared" si="35"/>
        <v>0</v>
      </c>
      <c r="Q309" t="str">
        <f t="shared" si="30"/>
        <v>NA</v>
      </c>
      <c r="R309" t="str">
        <f t="shared" si="31"/>
        <v>NA</v>
      </c>
      <c r="S309" t="str">
        <f t="shared" si="32"/>
        <v>NA</v>
      </c>
      <c r="T309" t="str">
        <f t="shared" si="33"/>
        <v>NA</v>
      </c>
      <c r="U309">
        <f t="shared" si="34"/>
        <v>0</v>
      </c>
    </row>
    <row r="310" spans="1:21">
      <c r="A310">
        <v>278</v>
      </c>
      <c r="B310" s="1">
        <v>45185</v>
      </c>
      <c r="C310" t="s">
        <v>31</v>
      </c>
      <c r="D310" t="s">
        <v>32</v>
      </c>
      <c r="E310" t="s">
        <v>22</v>
      </c>
      <c r="F310" s="1">
        <v>45185</v>
      </c>
      <c r="G310" t="s">
        <v>31</v>
      </c>
      <c r="H310" t="s">
        <v>32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s="3">
        <f t="shared" si="35"/>
        <v>0</v>
      </c>
      <c r="Q310" t="str">
        <f t="shared" si="30"/>
        <v>NA</v>
      </c>
      <c r="R310" t="str">
        <f t="shared" si="31"/>
        <v>NA</v>
      </c>
      <c r="S310" t="str">
        <f t="shared" si="32"/>
        <v>NA</v>
      </c>
      <c r="T310" t="str">
        <f t="shared" si="33"/>
        <v>NA</v>
      </c>
      <c r="U310">
        <f t="shared" si="34"/>
        <v>0</v>
      </c>
    </row>
    <row r="311" spans="1:21">
      <c r="A311">
        <v>279</v>
      </c>
      <c r="B311" s="1">
        <v>45185</v>
      </c>
      <c r="C311" t="s">
        <v>33</v>
      </c>
      <c r="D311" t="s">
        <v>34</v>
      </c>
      <c r="E311" t="s">
        <v>15</v>
      </c>
      <c r="F311" s="1">
        <v>45185</v>
      </c>
      <c r="G311" t="s">
        <v>33</v>
      </c>
      <c r="H311" t="s">
        <v>34</v>
      </c>
      <c r="I311" t="s">
        <v>15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s="3">
        <f t="shared" si="35"/>
        <v>0</v>
      </c>
      <c r="Q311" t="str">
        <f t="shared" si="30"/>
        <v>NA</v>
      </c>
      <c r="R311" t="str">
        <f t="shared" si="31"/>
        <v>NA</v>
      </c>
      <c r="S311" t="str">
        <f t="shared" si="32"/>
        <v>NA</v>
      </c>
      <c r="T311" t="str">
        <f t="shared" si="33"/>
        <v>NA</v>
      </c>
      <c r="U311">
        <f t="shared" si="34"/>
        <v>0</v>
      </c>
    </row>
    <row r="312" spans="1:21">
      <c r="A312">
        <v>280</v>
      </c>
      <c r="B312" s="1">
        <v>45185</v>
      </c>
      <c r="C312" t="s">
        <v>35</v>
      </c>
      <c r="D312" t="s">
        <v>36</v>
      </c>
      <c r="E312" t="s">
        <v>15</v>
      </c>
      <c r="F312" s="1">
        <v>45185</v>
      </c>
      <c r="G312" t="s">
        <v>35</v>
      </c>
      <c r="H312" t="s">
        <v>36</v>
      </c>
      <c r="I312" t="s">
        <v>15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s="3">
        <f t="shared" si="35"/>
        <v>0</v>
      </c>
      <c r="Q312" t="str">
        <f t="shared" si="30"/>
        <v>NA</v>
      </c>
      <c r="R312" t="str">
        <f t="shared" si="31"/>
        <v>NA</v>
      </c>
      <c r="S312" t="str">
        <f t="shared" si="32"/>
        <v>NA</v>
      </c>
      <c r="T312" t="str">
        <f t="shared" si="33"/>
        <v>NA</v>
      </c>
      <c r="U312">
        <f t="shared" si="34"/>
        <v>0</v>
      </c>
    </row>
    <row r="313" spans="1:21">
      <c r="A313">
        <v>281</v>
      </c>
      <c r="B313" s="1">
        <v>45185</v>
      </c>
      <c r="C313" t="s">
        <v>37</v>
      </c>
      <c r="D313" t="s">
        <v>38</v>
      </c>
      <c r="E313" t="s">
        <v>92</v>
      </c>
      <c r="F313" s="1">
        <v>45185</v>
      </c>
      <c r="G313" t="s">
        <v>37</v>
      </c>
      <c r="H313" t="s">
        <v>38</v>
      </c>
      <c r="I313" t="s">
        <v>92</v>
      </c>
      <c r="J313" t="s">
        <v>22</v>
      </c>
      <c r="K313">
        <v>75</v>
      </c>
      <c r="L313" t="s">
        <v>22</v>
      </c>
      <c r="M313">
        <v>25</v>
      </c>
      <c r="N313" t="s">
        <v>22</v>
      </c>
      <c r="O313" t="s">
        <v>22</v>
      </c>
      <c r="P313" s="3">
        <f t="shared" si="35"/>
        <v>2</v>
      </c>
      <c r="Q313" t="str">
        <f t="shared" si="30"/>
        <v>NA</v>
      </c>
      <c r="R313" t="str">
        <f t="shared" si="31"/>
        <v>NA</v>
      </c>
      <c r="S313" t="str">
        <f t="shared" si="32"/>
        <v>NA</v>
      </c>
      <c r="T313" t="str">
        <f t="shared" si="33"/>
        <v>NA</v>
      </c>
      <c r="U313">
        <f t="shared" si="34"/>
        <v>0</v>
      </c>
    </row>
    <row r="314" spans="1:21">
      <c r="A314">
        <v>282</v>
      </c>
      <c r="B314" s="1">
        <v>45185</v>
      </c>
      <c r="C314" t="s">
        <v>39</v>
      </c>
      <c r="D314" t="s">
        <v>40</v>
      </c>
      <c r="E314" t="s">
        <v>65</v>
      </c>
      <c r="F314" s="1">
        <v>45185</v>
      </c>
      <c r="G314" t="s">
        <v>39</v>
      </c>
      <c r="H314" t="s">
        <v>40</v>
      </c>
      <c r="I314" t="s">
        <v>65</v>
      </c>
      <c r="J314" t="s">
        <v>22</v>
      </c>
      <c r="K314">
        <v>100</v>
      </c>
      <c r="L314" t="s">
        <v>22</v>
      </c>
      <c r="M314" t="s">
        <v>22</v>
      </c>
      <c r="N314" t="s">
        <v>22</v>
      </c>
      <c r="O314" t="s">
        <v>22</v>
      </c>
      <c r="P314" s="3">
        <f t="shared" si="35"/>
        <v>1</v>
      </c>
      <c r="Q314" t="str">
        <f t="shared" si="30"/>
        <v>NA</v>
      </c>
      <c r="R314" t="str">
        <f t="shared" si="31"/>
        <v>NA</v>
      </c>
      <c r="S314" t="str">
        <f t="shared" si="32"/>
        <v>NA</v>
      </c>
      <c r="T314" t="str">
        <f t="shared" si="33"/>
        <v>NA</v>
      </c>
      <c r="U314">
        <f t="shared" si="34"/>
        <v>0</v>
      </c>
    </row>
    <row r="315" spans="1:21">
      <c r="A315">
        <v>283</v>
      </c>
      <c r="B315" s="1">
        <v>45185</v>
      </c>
      <c r="C315" t="s">
        <v>41</v>
      </c>
      <c r="D315" t="s">
        <v>42</v>
      </c>
      <c r="E315" t="s">
        <v>22</v>
      </c>
      <c r="F315" s="1">
        <v>45185</v>
      </c>
      <c r="G315" t="s">
        <v>41</v>
      </c>
      <c r="H315" t="s">
        <v>42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s="3">
        <f t="shared" si="35"/>
        <v>0</v>
      </c>
      <c r="Q315" t="str">
        <f t="shared" si="30"/>
        <v>NA</v>
      </c>
      <c r="R315" t="str">
        <f t="shared" si="31"/>
        <v>NA</v>
      </c>
      <c r="S315" t="str">
        <f t="shared" si="32"/>
        <v>NA</v>
      </c>
      <c r="T315" t="str">
        <f t="shared" si="33"/>
        <v>NA</v>
      </c>
      <c r="U315">
        <f t="shared" si="34"/>
        <v>0</v>
      </c>
    </row>
    <row r="316" spans="1:21">
      <c r="A316">
        <v>287</v>
      </c>
      <c r="B316" s="1">
        <v>45185</v>
      </c>
      <c r="C316" t="s">
        <v>50</v>
      </c>
      <c r="D316" t="s">
        <v>51</v>
      </c>
      <c r="E316" t="s">
        <v>22</v>
      </c>
      <c r="F316" s="1">
        <v>45185</v>
      </c>
      <c r="G316" t="s">
        <v>50</v>
      </c>
      <c r="H316" t="s">
        <v>51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s="3">
        <f t="shared" si="35"/>
        <v>0</v>
      </c>
      <c r="Q316" t="str">
        <f t="shared" si="30"/>
        <v>NA</v>
      </c>
      <c r="R316" t="str">
        <f t="shared" si="31"/>
        <v>NA</v>
      </c>
      <c r="S316" t="str">
        <f t="shared" si="32"/>
        <v>NA</v>
      </c>
      <c r="T316" t="str">
        <f t="shared" si="33"/>
        <v>NA</v>
      </c>
      <c r="U316">
        <f t="shared" si="34"/>
        <v>0</v>
      </c>
    </row>
    <row r="317" spans="1:21">
      <c r="A317">
        <v>291</v>
      </c>
      <c r="B317" s="1">
        <v>45185</v>
      </c>
      <c r="C317" t="s">
        <v>61</v>
      </c>
      <c r="D317" t="s">
        <v>62</v>
      </c>
      <c r="E317" t="s">
        <v>15</v>
      </c>
      <c r="F317" s="1">
        <v>45185</v>
      </c>
      <c r="G317" t="s">
        <v>61</v>
      </c>
      <c r="H317" t="s">
        <v>62</v>
      </c>
      <c r="I317" t="s">
        <v>15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s="3">
        <f t="shared" si="35"/>
        <v>0</v>
      </c>
      <c r="Q317" t="str">
        <f t="shared" si="30"/>
        <v>NA</v>
      </c>
      <c r="R317" t="str">
        <f t="shared" si="31"/>
        <v>NA</v>
      </c>
      <c r="S317" t="str">
        <f t="shared" si="32"/>
        <v>NA</v>
      </c>
      <c r="T317" t="str">
        <f t="shared" si="33"/>
        <v>NA</v>
      </c>
      <c r="U317">
        <f t="shared" si="34"/>
        <v>0</v>
      </c>
    </row>
    <row r="318" spans="1:21">
      <c r="A318">
        <v>294</v>
      </c>
      <c r="B318" s="1">
        <v>45185</v>
      </c>
      <c r="C318" t="s">
        <v>68</v>
      </c>
      <c r="D318" t="s">
        <v>69</v>
      </c>
      <c r="E318" t="s">
        <v>15</v>
      </c>
      <c r="F318" s="1">
        <v>45185</v>
      </c>
      <c r="G318" t="s">
        <v>68</v>
      </c>
      <c r="H318" t="s">
        <v>69</v>
      </c>
      <c r="I318" t="s">
        <v>15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s="3">
        <f t="shared" si="35"/>
        <v>0</v>
      </c>
      <c r="Q318" t="str">
        <f t="shared" si="30"/>
        <v>NA</v>
      </c>
      <c r="R318" t="str">
        <f t="shared" si="31"/>
        <v>NA</v>
      </c>
      <c r="S318" t="str">
        <f t="shared" si="32"/>
        <v>NA</v>
      </c>
      <c r="T318" t="str">
        <f t="shared" si="33"/>
        <v>NA</v>
      </c>
      <c r="U318">
        <f t="shared" si="34"/>
        <v>0</v>
      </c>
    </row>
    <row r="319" spans="1:21">
      <c r="A319">
        <v>295</v>
      </c>
      <c r="B319" s="1">
        <v>45185</v>
      </c>
      <c r="C319" t="s">
        <v>70</v>
      </c>
      <c r="D319" t="s">
        <v>71</v>
      </c>
      <c r="E319" t="s">
        <v>65</v>
      </c>
      <c r="F319" s="1">
        <v>45185</v>
      </c>
      <c r="G319" t="s">
        <v>70</v>
      </c>
      <c r="H319" t="s">
        <v>71</v>
      </c>
      <c r="I319" t="s">
        <v>65</v>
      </c>
      <c r="J319" t="s">
        <v>22</v>
      </c>
      <c r="K319">
        <v>100</v>
      </c>
      <c r="L319" t="s">
        <v>22</v>
      </c>
      <c r="M319" t="s">
        <v>22</v>
      </c>
      <c r="N319" t="s">
        <v>22</v>
      </c>
      <c r="O319" t="s">
        <v>22</v>
      </c>
      <c r="P319" s="3">
        <f t="shared" si="35"/>
        <v>1</v>
      </c>
      <c r="Q319" t="str">
        <f t="shared" si="30"/>
        <v>NA</v>
      </c>
      <c r="R319" t="str">
        <f t="shared" si="31"/>
        <v>NA</v>
      </c>
      <c r="S319" t="str">
        <f t="shared" si="32"/>
        <v>NA</v>
      </c>
      <c r="T319" t="str">
        <f t="shared" si="33"/>
        <v>NA</v>
      </c>
      <c r="U319">
        <f t="shared" si="34"/>
        <v>0</v>
      </c>
    </row>
    <row r="320" spans="1:21">
      <c r="A320">
        <v>297</v>
      </c>
      <c r="B320" s="1">
        <v>45185</v>
      </c>
      <c r="C320" t="s">
        <v>74</v>
      </c>
      <c r="D320" t="s">
        <v>75</v>
      </c>
      <c r="E320" t="s">
        <v>58</v>
      </c>
      <c r="F320" s="1">
        <v>45185</v>
      </c>
      <c r="G320" t="s">
        <v>74</v>
      </c>
      <c r="H320" t="s">
        <v>75</v>
      </c>
      <c r="I320" t="s">
        <v>58</v>
      </c>
      <c r="J320" t="s">
        <v>22</v>
      </c>
      <c r="K320" t="s">
        <v>22</v>
      </c>
      <c r="L320" t="s">
        <v>22</v>
      </c>
      <c r="M320">
        <v>100</v>
      </c>
      <c r="N320" t="s">
        <v>22</v>
      </c>
      <c r="O320" t="s">
        <v>22</v>
      </c>
      <c r="P320" s="3">
        <f t="shared" si="35"/>
        <v>1</v>
      </c>
      <c r="Q320" t="str">
        <f t="shared" si="30"/>
        <v>NA</v>
      </c>
      <c r="R320" t="str">
        <f t="shared" si="31"/>
        <v>NA</v>
      </c>
      <c r="S320" t="str">
        <f t="shared" si="32"/>
        <v>NA</v>
      </c>
      <c r="T320" t="str">
        <f t="shared" si="33"/>
        <v>NA</v>
      </c>
      <c r="U320">
        <f t="shared" si="34"/>
        <v>0</v>
      </c>
    </row>
    <row r="321" spans="1:21">
      <c r="A321">
        <v>298</v>
      </c>
      <c r="B321" s="1">
        <v>45185</v>
      </c>
      <c r="C321" t="s">
        <v>77</v>
      </c>
      <c r="D321" t="s">
        <v>78</v>
      </c>
      <c r="E321" t="s">
        <v>22</v>
      </c>
      <c r="F321" s="1">
        <v>45185</v>
      </c>
      <c r="G321" t="s">
        <v>77</v>
      </c>
      <c r="H321" t="s">
        <v>78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s="3">
        <f t="shared" si="35"/>
        <v>0</v>
      </c>
      <c r="Q321" t="str">
        <f t="shared" si="30"/>
        <v>NA</v>
      </c>
      <c r="R321" t="str">
        <f t="shared" si="31"/>
        <v>NA</v>
      </c>
      <c r="S321" t="str">
        <f t="shared" si="32"/>
        <v>NA</v>
      </c>
      <c r="T321" t="str">
        <f t="shared" si="33"/>
        <v>NA</v>
      </c>
      <c r="U321">
        <f t="shared" si="34"/>
        <v>0</v>
      </c>
    </row>
    <row r="322" spans="1:21">
      <c r="A322">
        <v>299</v>
      </c>
      <c r="B322" s="1">
        <v>45185</v>
      </c>
      <c r="C322" t="s">
        <v>79</v>
      </c>
      <c r="D322" t="s">
        <v>80</v>
      </c>
      <c r="E322" t="s">
        <v>144</v>
      </c>
      <c r="F322" s="1">
        <v>45185</v>
      </c>
      <c r="G322" t="s">
        <v>79</v>
      </c>
      <c r="H322" t="s">
        <v>80</v>
      </c>
      <c r="I322" t="s">
        <v>144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s="3">
        <f t="shared" si="35"/>
        <v>0</v>
      </c>
      <c r="Q322" t="str">
        <f t="shared" si="30"/>
        <v>NA</v>
      </c>
      <c r="R322" t="str">
        <f t="shared" si="31"/>
        <v>NA</v>
      </c>
      <c r="S322" t="str">
        <f t="shared" si="32"/>
        <v>NA</v>
      </c>
      <c r="T322" t="str">
        <f t="shared" si="33"/>
        <v>NA</v>
      </c>
      <c r="U322">
        <f t="shared" si="34"/>
        <v>0</v>
      </c>
    </row>
    <row r="323" spans="1:21">
      <c r="A323">
        <v>300</v>
      </c>
      <c r="B323" s="1">
        <v>45185</v>
      </c>
      <c r="C323" t="s">
        <v>114</v>
      </c>
      <c r="D323" t="s">
        <v>130</v>
      </c>
      <c r="E323" t="s">
        <v>15</v>
      </c>
      <c r="F323" s="1">
        <v>45185</v>
      </c>
      <c r="G323" t="s">
        <v>114</v>
      </c>
      <c r="H323" t="s">
        <v>130</v>
      </c>
      <c r="I323" t="s">
        <v>15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s="3">
        <f t="shared" si="35"/>
        <v>0</v>
      </c>
      <c r="Q323" t="str">
        <f t="shared" si="30"/>
        <v>NA</v>
      </c>
      <c r="R323" t="str">
        <f t="shared" si="31"/>
        <v>NA</v>
      </c>
      <c r="S323" t="str">
        <f t="shared" si="32"/>
        <v>NA</v>
      </c>
      <c r="T323" t="str">
        <f t="shared" si="33"/>
        <v>NA</v>
      </c>
      <c r="U323">
        <f t="shared" si="34"/>
        <v>0</v>
      </c>
    </row>
    <row r="324" spans="1:21">
      <c r="A324">
        <v>301</v>
      </c>
      <c r="B324" s="1">
        <v>45201</v>
      </c>
      <c r="C324" t="s">
        <v>13</v>
      </c>
      <c r="D324" t="s">
        <v>14</v>
      </c>
      <c r="E324" t="s">
        <v>15</v>
      </c>
      <c r="F324" s="1">
        <v>45201</v>
      </c>
      <c r="G324" t="s">
        <v>13</v>
      </c>
      <c r="H324" t="s">
        <v>14</v>
      </c>
      <c r="I324" t="s">
        <v>15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s="3">
        <f t="shared" si="35"/>
        <v>0</v>
      </c>
      <c r="Q324" t="str">
        <f t="shared" ref="Q324:Q392" si="36">IF(NOT(J324="NA"),1,"NA")</f>
        <v>NA</v>
      </c>
      <c r="R324" t="str">
        <f t="shared" ref="R324:R392" si="37">IF(NOT(L324="NA"),1,"NA")</f>
        <v>NA</v>
      </c>
      <c r="S324" t="str">
        <f t="shared" ref="S324:S392" si="38">IF(NOT(N324="NA"),1,"NA")</f>
        <v>NA</v>
      </c>
      <c r="T324" t="str">
        <f t="shared" ref="T324:T392" si="39">IF(NOT(O324="NA"),1,"NA")</f>
        <v>NA</v>
      </c>
      <c r="U324">
        <f t="shared" ref="U324:U387" si="40">SUM(Q324:T324)</f>
        <v>0</v>
      </c>
    </row>
    <row r="325" spans="1:21">
      <c r="A325">
        <v>303</v>
      </c>
      <c r="B325" s="1">
        <v>45201</v>
      </c>
      <c r="C325" t="s">
        <v>20</v>
      </c>
      <c r="D325" t="s">
        <v>21</v>
      </c>
      <c r="E325" t="s">
        <v>22</v>
      </c>
      <c r="F325" s="1">
        <v>45201</v>
      </c>
      <c r="G325" t="s">
        <v>20</v>
      </c>
      <c r="H325" t="s">
        <v>21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s="3">
        <f t="shared" ref="P325:P388" si="41">COUNTA(J325:O325)-COUNTIF(J325:O325,"NA")</f>
        <v>0</v>
      </c>
      <c r="Q325" t="str">
        <f t="shared" si="36"/>
        <v>NA</v>
      </c>
      <c r="R325" t="str">
        <f t="shared" si="37"/>
        <v>NA</v>
      </c>
      <c r="S325" t="str">
        <f t="shared" si="38"/>
        <v>NA</v>
      </c>
      <c r="T325" t="str">
        <f t="shared" si="39"/>
        <v>NA</v>
      </c>
      <c r="U325">
        <f t="shared" si="40"/>
        <v>0</v>
      </c>
    </row>
    <row r="326" spans="1:21">
      <c r="A326">
        <v>305</v>
      </c>
      <c r="B326" s="1">
        <v>45201</v>
      </c>
      <c r="C326" t="s">
        <v>25</v>
      </c>
      <c r="D326" t="s">
        <v>26</v>
      </c>
      <c r="E326" t="s">
        <v>22</v>
      </c>
      <c r="F326" s="1">
        <v>45201</v>
      </c>
      <c r="G326" t="s">
        <v>25</v>
      </c>
      <c r="H326" t="s">
        <v>26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s="3">
        <f t="shared" si="41"/>
        <v>0</v>
      </c>
      <c r="Q326" t="str">
        <f t="shared" si="36"/>
        <v>NA</v>
      </c>
      <c r="R326" t="str">
        <f t="shared" si="37"/>
        <v>NA</v>
      </c>
      <c r="S326" t="str">
        <f t="shared" si="38"/>
        <v>NA</v>
      </c>
      <c r="T326" t="str">
        <f t="shared" si="39"/>
        <v>NA</v>
      </c>
      <c r="U326">
        <f t="shared" si="40"/>
        <v>0</v>
      </c>
    </row>
    <row r="327" spans="1:21">
      <c r="A327">
        <v>306</v>
      </c>
      <c r="B327" s="1">
        <v>45201</v>
      </c>
      <c r="C327" t="s">
        <v>27</v>
      </c>
      <c r="D327" t="s">
        <v>28</v>
      </c>
      <c r="E327" t="s">
        <v>58</v>
      </c>
      <c r="F327" s="1">
        <v>45201</v>
      </c>
      <c r="G327" t="s">
        <v>27</v>
      </c>
      <c r="H327" t="s">
        <v>28</v>
      </c>
      <c r="I327" t="s">
        <v>58</v>
      </c>
      <c r="J327" t="s">
        <v>22</v>
      </c>
      <c r="K327" t="s">
        <v>22</v>
      </c>
      <c r="L327" t="s">
        <v>22</v>
      </c>
      <c r="M327">
        <v>100</v>
      </c>
      <c r="N327" t="s">
        <v>22</v>
      </c>
      <c r="O327" t="s">
        <v>22</v>
      </c>
      <c r="P327" s="3">
        <f t="shared" si="41"/>
        <v>1</v>
      </c>
      <c r="Q327" t="str">
        <f t="shared" si="36"/>
        <v>NA</v>
      </c>
      <c r="R327" t="str">
        <f t="shared" si="37"/>
        <v>NA</v>
      </c>
      <c r="S327" t="str">
        <f t="shared" si="38"/>
        <v>NA</v>
      </c>
      <c r="T327" t="str">
        <f t="shared" si="39"/>
        <v>NA</v>
      </c>
      <c r="U327">
        <f t="shared" si="40"/>
        <v>0</v>
      </c>
    </row>
    <row r="328" spans="1:21">
      <c r="A328">
        <v>307</v>
      </c>
      <c r="B328" s="1">
        <v>45201</v>
      </c>
      <c r="C328" t="s">
        <v>29</v>
      </c>
      <c r="D328" t="s">
        <v>30</v>
      </c>
      <c r="E328" t="s">
        <v>22</v>
      </c>
      <c r="F328" s="1">
        <v>45201</v>
      </c>
      <c r="G328" t="s">
        <v>29</v>
      </c>
      <c r="H328" t="s">
        <v>30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s="3">
        <f t="shared" si="41"/>
        <v>0</v>
      </c>
      <c r="Q328" t="str">
        <f t="shared" si="36"/>
        <v>NA</v>
      </c>
      <c r="R328" t="str">
        <f t="shared" si="37"/>
        <v>NA</v>
      </c>
      <c r="S328" t="str">
        <f t="shared" si="38"/>
        <v>NA</v>
      </c>
      <c r="T328" t="str">
        <f t="shared" si="39"/>
        <v>NA</v>
      </c>
      <c r="U328">
        <f t="shared" si="40"/>
        <v>0</v>
      </c>
    </row>
    <row r="329" spans="1:21">
      <c r="A329">
        <v>308</v>
      </c>
      <c r="B329" s="1">
        <v>45201</v>
      </c>
      <c r="C329" t="s">
        <v>31</v>
      </c>
      <c r="D329" t="s">
        <v>32</v>
      </c>
      <c r="E329" t="s">
        <v>22</v>
      </c>
      <c r="F329" s="1">
        <v>45201</v>
      </c>
      <c r="G329" t="s">
        <v>31</v>
      </c>
      <c r="H329" t="s">
        <v>32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s="3">
        <f t="shared" si="41"/>
        <v>0</v>
      </c>
      <c r="Q329" t="str">
        <f t="shared" si="36"/>
        <v>NA</v>
      </c>
      <c r="R329" t="str">
        <f t="shared" si="37"/>
        <v>NA</v>
      </c>
      <c r="S329" t="str">
        <f t="shared" si="38"/>
        <v>NA</v>
      </c>
      <c r="T329" t="str">
        <f t="shared" si="39"/>
        <v>NA</v>
      </c>
      <c r="U329">
        <f t="shared" si="40"/>
        <v>0</v>
      </c>
    </row>
    <row r="330" spans="1:21">
      <c r="A330">
        <v>309</v>
      </c>
      <c r="B330" s="1">
        <v>45201</v>
      </c>
      <c r="C330" t="s">
        <v>33</v>
      </c>
      <c r="D330" t="s">
        <v>34</v>
      </c>
      <c r="E330" t="s">
        <v>15</v>
      </c>
      <c r="F330" s="1">
        <v>45201</v>
      </c>
      <c r="G330" t="s">
        <v>33</v>
      </c>
      <c r="H330" t="s">
        <v>34</v>
      </c>
      <c r="I330" t="s">
        <v>15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s="3">
        <f t="shared" si="41"/>
        <v>0</v>
      </c>
      <c r="Q330" t="str">
        <f t="shared" si="36"/>
        <v>NA</v>
      </c>
      <c r="R330" t="str">
        <f t="shared" si="37"/>
        <v>NA</v>
      </c>
      <c r="S330" t="str">
        <f t="shared" si="38"/>
        <v>NA</v>
      </c>
      <c r="T330" t="str">
        <f t="shared" si="39"/>
        <v>NA</v>
      </c>
      <c r="U330">
        <f t="shared" si="40"/>
        <v>0</v>
      </c>
    </row>
    <row r="331" spans="1:21">
      <c r="A331">
        <v>310</v>
      </c>
      <c r="B331" s="1">
        <v>45201</v>
      </c>
      <c r="C331" t="s">
        <v>35</v>
      </c>
      <c r="D331" t="s">
        <v>36</v>
      </c>
      <c r="E331" t="s">
        <v>65</v>
      </c>
      <c r="F331" s="1">
        <v>45201</v>
      </c>
      <c r="G331" t="s">
        <v>35</v>
      </c>
      <c r="H331" t="s">
        <v>36</v>
      </c>
      <c r="I331" t="s">
        <v>65</v>
      </c>
      <c r="J331" t="s">
        <v>22</v>
      </c>
      <c r="K331">
        <v>100</v>
      </c>
      <c r="L331" t="s">
        <v>22</v>
      </c>
      <c r="M331" t="s">
        <v>22</v>
      </c>
      <c r="N331" t="s">
        <v>22</v>
      </c>
      <c r="O331" t="s">
        <v>22</v>
      </c>
      <c r="P331" s="3">
        <f t="shared" si="41"/>
        <v>1</v>
      </c>
      <c r="Q331" t="str">
        <f t="shared" si="36"/>
        <v>NA</v>
      </c>
      <c r="R331" t="str">
        <f t="shared" si="37"/>
        <v>NA</v>
      </c>
      <c r="S331" t="str">
        <f t="shared" si="38"/>
        <v>NA</v>
      </c>
      <c r="T331" t="str">
        <f t="shared" si="39"/>
        <v>NA</v>
      </c>
      <c r="U331">
        <f t="shared" si="40"/>
        <v>0</v>
      </c>
    </row>
    <row r="332" spans="1:21">
      <c r="A332">
        <v>311</v>
      </c>
      <c r="B332" s="1">
        <v>45201</v>
      </c>
      <c r="C332" t="s">
        <v>37</v>
      </c>
      <c r="D332" t="s">
        <v>38</v>
      </c>
      <c r="E332" t="s">
        <v>103</v>
      </c>
      <c r="F332" s="1">
        <v>45201</v>
      </c>
      <c r="G332" t="s">
        <v>37</v>
      </c>
      <c r="H332" t="s">
        <v>38</v>
      </c>
      <c r="I332" t="s">
        <v>103</v>
      </c>
      <c r="J332" t="s">
        <v>22</v>
      </c>
      <c r="K332">
        <v>25</v>
      </c>
      <c r="L332" t="s">
        <v>22</v>
      </c>
      <c r="M332">
        <v>75</v>
      </c>
      <c r="N332" t="s">
        <v>22</v>
      </c>
      <c r="O332" t="s">
        <v>22</v>
      </c>
      <c r="P332" s="3">
        <f t="shared" si="41"/>
        <v>2</v>
      </c>
      <c r="Q332" t="str">
        <f t="shared" si="36"/>
        <v>NA</v>
      </c>
      <c r="R332" t="str">
        <f t="shared" si="37"/>
        <v>NA</v>
      </c>
      <c r="S332" t="str">
        <f t="shared" si="38"/>
        <v>NA</v>
      </c>
      <c r="T332" t="str">
        <f t="shared" si="39"/>
        <v>NA</v>
      </c>
      <c r="U332">
        <f t="shared" si="40"/>
        <v>0</v>
      </c>
    </row>
    <row r="333" spans="1:21">
      <c r="A333">
        <v>312</v>
      </c>
      <c r="B333" s="1">
        <v>45201</v>
      </c>
      <c r="C333" t="s">
        <v>39</v>
      </c>
      <c r="D333" t="s">
        <v>40</v>
      </c>
      <c r="E333" t="s">
        <v>15</v>
      </c>
      <c r="F333" s="1">
        <v>45201</v>
      </c>
      <c r="G333" t="s">
        <v>39</v>
      </c>
      <c r="H333" t="s">
        <v>40</v>
      </c>
      <c r="I333" t="s">
        <v>15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s="3">
        <f t="shared" si="41"/>
        <v>0</v>
      </c>
      <c r="Q333" t="str">
        <f t="shared" si="36"/>
        <v>NA</v>
      </c>
      <c r="R333" t="str">
        <f t="shared" si="37"/>
        <v>NA</v>
      </c>
      <c r="S333" t="str">
        <f t="shared" si="38"/>
        <v>NA</v>
      </c>
      <c r="T333" t="str">
        <f t="shared" si="39"/>
        <v>NA</v>
      </c>
      <c r="U333">
        <f t="shared" si="40"/>
        <v>0</v>
      </c>
    </row>
    <row r="334" spans="1:21">
      <c r="A334">
        <v>313</v>
      </c>
      <c r="B334" s="1">
        <v>45201</v>
      </c>
      <c r="C334" t="s">
        <v>41</v>
      </c>
      <c r="D334" t="s">
        <v>42</v>
      </c>
      <c r="E334" t="s">
        <v>22</v>
      </c>
      <c r="F334" s="1">
        <v>45201</v>
      </c>
      <c r="G334" t="s">
        <v>41</v>
      </c>
      <c r="H334" t="s">
        <v>42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s="3">
        <f t="shared" si="41"/>
        <v>0</v>
      </c>
      <c r="Q334" t="str">
        <f t="shared" si="36"/>
        <v>NA</v>
      </c>
      <c r="R334" t="str">
        <f t="shared" si="37"/>
        <v>NA</v>
      </c>
      <c r="S334" t="str">
        <f t="shared" si="38"/>
        <v>NA</v>
      </c>
      <c r="T334" t="str">
        <f t="shared" si="39"/>
        <v>NA</v>
      </c>
      <c r="U334">
        <f t="shared" si="40"/>
        <v>0</v>
      </c>
    </row>
    <row r="335" spans="1:21">
      <c r="A335">
        <v>317</v>
      </c>
      <c r="B335" s="1">
        <v>45201</v>
      </c>
      <c r="C335" t="s">
        <v>50</v>
      </c>
      <c r="D335" t="s">
        <v>51</v>
      </c>
      <c r="E335" t="s">
        <v>15</v>
      </c>
      <c r="F335" s="1">
        <v>45201</v>
      </c>
      <c r="G335" t="s">
        <v>50</v>
      </c>
      <c r="H335" t="s">
        <v>51</v>
      </c>
      <c r="I335" t="s">
        <v>15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s="3">
        <f t="shared" si="41"/>
        <v>0</v>
      </c>
      <c r="Q335" t="str">
        <f t="shared" si="36"/>
        <v>NA</v>
      </c>
      <c r="R335" t="str">
        <f t="shared" si="37"/>
        <v>NA</v>
      </c>
      <c r="S335" t="str">
        <f t="shared" si="38"/>
        <v>NA</v>
      </c>
      <c r="T335" t="str">
        <f t="shared" si="39"/>
        <v>NA</v>
      </c>
      <c r="U335">
        <f t="shared" si="40"/>
        <v>0</v>
      </c>
    </row>
    <row r="336" spans="1:21">
      <c r="A336">
        <v>319</v>
      </c>
      <c r="B336" s="1">
        <v>45201</v>
      </c>
      <c r="C336" t="s">
        <v>56</v>
      </c>
      <c r="D336" t="s">
        <v>57</v>
      </c>
      <c r="E336" t="s">
        <v>65</v>
      </c>
      <c r="F336" s="1">
        <v>45201</v>
      </c>
      <c r="G336" t="s">
        <v>56</v>
      </c>
      <c r="H336" t="s">
        <v>57</v>
      </c>
      <c r="I336" t="s">
        <v>65</v>
      </c>
      <c r="J336" t="s">
        <v>22</v>
      </c>
      <c r="K336">
        <v>100</v>
      </c>
      <c r="L336" t="s">
        <v>22</v>
      </c>
      <c r="M336" t="s">
        <v>22</v>
      </c>
      <c r="N336" t="s">
        <v>22</v>
      </c>
      <c r="O336" t="s">
        <v>22</v>
      </c>
      <c r="P336" s="3">
        <f t="shared" si="41"/>
        <v>1</v>
      </c>
      <c r="Q336" t="str">
        <f t="shared" si="36"/>
        <v>NA</v>
      </c>
      <c r="R336" t="str">
        <f t="shared" si="37"/>
        <v>NA</v>
      </c>
      <c r="S336" t="str">
        <f t="shared" si="38"/>
        <v>NA</v>
      </c>
      <c r="T336" t="str">
        <f t="shared" si="39"/>
        <v>NA</v>
      </c>
      <c r="U336">
        <f t="shared" si="40"/>
        <v>0</v>
      </c>
    </row>
    <row r="337" spans="1:21">
      <c r="A337">
        <v>320</v>
      </c>
      <c r="B337" s="1">
        <v>45201</v>
      </c>
      <c r="C337" t="s">
        <v>59</v>
      </c>
      <c r="D337" t="s">
        <v>60</v>
      </c>
      <c r="E337" t="s">
        <v>22</v>
      </c>
      <c r="F337" s="1">
        <v>45201</v>
      </c>
      <c r="G337" t="s">
        <v>59</v>
      </c>
      <c r="H337" t="s">
        <v>60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s="3">
        <f t="shared" si="41"/>
        <v>0</v>
      </c>
      <c r="Q337" t="str">
        <f t="shared" si="36"/>
        <v>NA</v>
      </c>
      <c r="R337" t="str">
        <f t="shared" si="37"/>
        <v>NA</v>
      </c>
      <c r="S337" t="str">
        <f t="shared" si="38"/>
        <v>NA</v>
      </c>
      <c r="T337" t="str">
        <f t="shared" si="39"/>
        <v>NA</v>
      </c>
      <c r="U337">
        <f t="shared" si="40"/>
        <v>0</v>
      </c>
    </row>
    <row r="338" spans="1:21">
      <c r="A338">
        <v>321</v>
      </c>
      <c r="B338" s="1">
        <v>45201</v>
      </c>
      <c r="C338" t="s">
        <v>61</v>
      </c>
      <c r="D338" t="s">
        <v>62</v>
      </c>
      <c r="E338" t="s">
        <v>22</v>
      </c>
      <c r="F338" s="1">
        <v>45201</v>
      </c>
      <c r="G338" t="s">
        <v>61</v>
      </c>
      <c r="H338" t="s">
        <v>62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s="3">
        <f t="shared" si="41"/>
        <v>0</v>
      </c>
      <c r="Q338" t="str">
        <f t="shared" si="36"/>
        <v>NA</v>
      </c>
      <c r="R338" t="str">
        <f t="shared" si="37"/>
        <v>NA</v>
      </c>
      <c r="S338" t="str">
        <f t="shared" si="38"/>
        <v>NA</v>
      </c>
      <c r="T338" t="str">
        <f t="shared" si="39"/>
        <v>NA</v>
      </c>
      <c r="U338">
        <f t="shared" si="40"/>
        <v>0</v>
      </c>
    </row>
    <row r="339" spans="1:21">
      <c r="A339">
        <v>322</v>
      </c>
      <c r="B339" s="1">
        <v>45201</v>
      </c>
      <c r="C339" t="s">
        <v>63</v>
      </c>
      <c r="D339" t="s">
        <v>64</v>
      </c>
      <c r="E339" t="s">
        <v>15</v>
      </c>
      <c r="F339" s="1">
        <v>45201</v>
      </c>
      <c r="G339" t="s">
        <v>63</v>
      </c>
      <c r="H339" t="s">
        <v>64</v>
      </c>
      <c r="I339" t="s">
        <v>15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s="3">
        <f t="shared" si="41"/>
        <v>0</v>
      </c>
      <c r="Q339" t="str">
        <f t="shared" si="36"/>
        <v>NA</v>
      </c>
      <c r="R339" t="str">
        <f t="shared" si="37"/>
        <v>NA</v>
      </c>
      <c r="S339" t="str">
        <f t="shared" si="38"/>
        <v>NA</v>
      </c>
      <c r="T339" t="str">
        <f t="shared" si="39"/>
        <v>NA</v>
      </c>
      <c r="U339">
        <f t="shared" si="40"/>
        <v>0</v>
      </c>
    </row>
    <row r="340" spans="1:21">
      <c r="A340">
        <v>323</v>
      </c>
      <c r="B340" s="1">
        <v>45201</v>
      </c>
      <c r="C340" t="s">
        <v>66</v>
      </c>
      <c r="D340" t="s">
        <v>67</v>
      </c>
      <c r="E340" t="s">
        <v>15</v>
      </c>
      <c r="F340" s="1">
        <v>45201</v>
      </c>
      <c r="G340" t="s">
        <v>66</v>
      </c>
      <c r="H340" t="s">
        <v>67</v>
      </c>
      <c r="I340" t="s">
        <v>15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s="3">
        <f t="shared" si="41"/>
        <v>0</v>
      </c>
      <c r="Q340" t="str">
        <f t="shared" si="36"/>
        <v>NA</v>
      </c>
      <c r="R340" t="str">
        <f t="shared" si="37"/>
        <v>NA</v>
      </c>
      <c r="S340" t="str">
        <f t="shared" si="38"/>
        <v>NA</v>
      </c>
      <c r="T340" t="str">
        <f t="shared" si="39"/>
        <v>NA</v>
      </c>
      <c r="U340">
        <f t="shared" si="40"/>
        <v>0</v>
      </c>
    </row>
    <row r="341" spans="1:21">
      <c r="A341">
        <v>324</v>
      </c>
      <c r="B341" s="1">
        <v>45201</v>
      </c>
      <c r="C341" t="s">
        <v>68</v>
      </c>
      <c r="D341" t="s">
        <v>69</v>
      </c>
      <c r="E341" t="s">
        <v>15</v>
      </c>
      <c r="F341" s="1">
        <v>45201</v>
      </c>
      <c r="G341" t="s">
        <v>68</v>
      </c>
      <c r="H341" t="s">
        <v>69</v>
      </c>
      <c r="I341" t="s">
        <v>15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s="3">
        <f t="shared" si="41"/>
        <v>0</v>
      </c>
      <c r="Q341" t="str">
        <f t="shared" si="36"/>
        <v>NA</v>
      </c>
      <c r="R341" t="str">
        <f t="shared" si="37"/>
        <v>NA</v>
      </c>
      <c r="S341" t="str">
        <f t="shared" si="38"/>
        <v>NA</v>
      </c>
      <c r="T341" t="str">
        <f t="shared" si="39"/>
        <v>NA</v>
      </c>
      <c r="U341">
        <f t="shared" si="40"/>
        <v>0</v>
      </c>
    </row>
    <row r="342" spans="1:21">
      <c r="A342">
        <v>325</v>
      </c>
      <c r="B342" s="1">
        <v>45201</v>
      </c>
      <c r="C342" t="s">
        <v>70</v>
      </c>
      <c r="D342" t="s">
        <v>71</v>
      </c>
      <c r="E342" t="s">
        <v>15</v>
      </c>
      <c r="F342" s="1">
        <v>45201</v>
      </c>
      <c r="G342" t="s">
        <v>70</v>
      </c>
      <c r="H342" t="s">
        <v>71</v>
      </c>
      <c r="I342" t="s">
        <v>15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s="3">
        <f t="shared" si="41"/>
        <v>0</v>
      </c>
      <c r="Q342" t="str">
        <f t="shared" si="36"/>
        <v>NA</v>
      </c>
      <c r="R342" t="str">
        <f t="shared" si="37"/>
        <v>NA</v>
      </c>
      <c r="S342" t="str">
        <f t="shared" si="38"/>
        <v>NA</v>
      </c>
      <c r="T342" t="str">
        <f t="shared" si="39"/>
        <v>NA</v>
      </c>
      <c r="U342">
        <f t="shared" si="40"/>
        <v>0</v>
      </c>
    </row>
    <row r="343" spans="1:21">
      <c r="A343">
        <v>326</v>
      </c>
      <c r="B343" s="1">
        <v>45201</v>
      </c>
      <c r="C343" t="s">
        <v>72</v>
      </c>
      <c r="D343" t="s">
        <v>73</v>
      </c>
      <c r="E343" t="s">
        <v>65</v>
      </c>
      <c r="F343" s="1">
        <v>45201</v>
      </c>
      <c r="G343" t="s">
        <v>72</v>
      </c>
      <c r="H343" t="s">
        <v>73</v>
      </c>
      <c r="I343" t="s">
        <v>65</v>
      </c>
      <c r="J343" t="s">
        <v>22</v>
      </c>
      <c r="K343">
        <v>100</v>
      </c>
      <c r="L343" t="s">
        <v>22</v>
      </c>
      <c r="M343" t="s">
        <v>22</v>
      </c>
      <c r="N343" t="s">
        <v>22</v>
      </c>
      <c r="O343" t="s">
        <v>22</v>
      </c>
      <c r="P343" s="3">
        <f t="shared" si="41"/>
        <v>1</v>
      </c>
      <c r="Q343" t="str">
        <f t="shared" si="36"/>
        <v>NA</v>
      </c>
      <c r="R343" t="str">
        <f t="shared" si="37"/>
        <v>NA</v>
      </c>
      <c r="S343" t="str">
        <f t="shared" si="38"/>
        <v>NA</v>
      </c>
      <c r="T343" t="str">
        <f t="shared" si="39"/>
        <v>NA</v>
      </c>
      <c r="U343">
        <f t="shared" si="40"/>
        <v>0</v>
      </c>
    </row>
    <row r="344" spans="1:21">
      <c r="A344">
        <v>327</v>
      </c>
      <c r="B344" s="1">
        <v>45201</v>
      </c>
      <c r="C344" t="s">
        <v>74</v>
      </c>
      <c r="D344" t="s">
        <v>75</v>
      </c>
      <c r="E344" t="s">
        <v>58</v>
      </c>
      <c r="F344" s="1">
        <v>45201</v>
      </c>
      <c r="G344" t="s">
        <v>74</v>
      </c>
      <c r="H344" t="s">
        <v>75</v>
      </c>
      <c r="I344" t="s">
        <v>58</v>
      </c>
      <c r="J344" t="s">
        <v>22</v>
      </c>
      <c r="K344" t="s">
        <v>22</v>
      </c>
      <c r="L344" t="s">
        <v>22</v>
      </c>
      <c r="M344">
        <v>100</v>
      </c>
      <c r="N344" t="s">
        <v>22</v>
      </c>
      <c r="O344" t="s">
        <v>22</v>
      </c>
      <c r="P344" s="3">
        <f t="shared" si="41"/>
        <v>1</v>
      </c>
      <c r="Q344" t="str">
        <f t="shared" si="36"/>
        <v>NA</v>
      </c>
      <c r="R344" t="str">
        <f t="shared" si="37"/>
        <v>NA</v>
      </c>
      <c r="S344" t="str">
        <f t="shared" si="38"/>
        <v>NA</v>
      </c>
      <c r="T344" t="str">
        <f t="shared" si="39"/>
        <v>NA</v>
      </c>
      <c r="U344">
        <f t="shared" si="40"/>
        <v>0</v>
      </c>
    </row>
    <row r="345" spans="1:21">
      <c r="A345">
        <v>328</v>
      </c>
      <c r="B345" s="1">
        <v>45201</v>
      </c>
      <c r="C345" t="s">
        <v>77</v>
      </c>
      <c r="D345" t="s">
        <v>78</v>
      </c>
      <c r="E345" t="s">
        <v>22</v>
      </c>
      <c r="F345" s="1">
        <v>45201</v>
      </c>
      <c r="G345" t="s">
        <v>77</v>
      </c>
      <c r="H345" t="s">
        <v>78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s="3">
        <f t="shared" si="41"/>
        <v>0</v>
      </c>
      <c r="Q345" t="str">
        <f t="shared" si="36"/>
        <v>NA</v>
      </c>
      <c r="R345" t="str">
        <f t="shared" si="37"/>
        <v>NA</v>
      </c>
      <c r="S345" t="str">
        <f t="shared" si="38"/>
        <v>NA</v>
      </c>
      <c r="T345" t="str">
        <f t="shared" si="39"/>
        <v>NA</v>
      </c>
      <c r="U345">
        <f t="shared" si="40"/>
        <v>0</v>
      </c>
    </row>
    <row r="346" spans="1:21">
      <c r="A346">
        <v>329</v>
      </c>
      <c r="B346" s="1">
        <v>45201</v>
      </c>
      <c r="C346" t="s">
        <v>79</v>
      </c>
      <c r="D346" t="s">
        <v>80</v>
      </c>
      <c r="E346" t="s">
        <v>15</v>
      </c>
      <c r="F346" s="1">
        <v>45201</v>
      </c>
      <c r="G346" t="s">
        <v>79</v>
      </c>
      <c r="H346" t="s">
        <v>80</v>
      </c>
      <c r="I346" t="s">
        <v>15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s="3">
        <f t="shared" si="41"/>
        <v>0</v>
      </c>
      <c r="Q346" t="str">
        <f t="shared" si="36"/>
        <v>NA</v>
      </c>
      <c r="R346" t="str">
        <f t="shared" si="37"/>
        <v>NA</v>
      </c>
      <c r="S346" t="str">
        <f t="shared" si="38"/>
        <v>NA</v>
      </c>
      <c r="T346" t="str">
        <f t="shared" si="39"/>
        <v>NA</v>
      </c>
      <c r="U346">
        <f t="shared" si="40"/>
        <v>0</v>
      </c>
    </row>
    <row r="347" spans="1:21">
      <c r="A347">
        <v>330</v>
      </c>
      <c r="B347" s="1">
        <v>45201</v>
      </c>
      <c r="C347" t="s">
        <v>90</v>
      </c>
      <c r="D347" t="s">
        <v>130</v>
      </c>
      <c r="E347" t="s">
        <v>15</v>
      </c>
      <c r="F347" s="1">
        <v>45201</v>
      </c>
      <c r="G347" t="s">
        <v>90</v>
      </c>
      <c r="H347" t="s">
        <v>130</v>
      </c>
      <c r="I347" t="s">
        <v>15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s="3">
        <f t="shared" si="41"/>
        <v>0</v>
      </c>
      <c r="Q347" t="str">
        <f t="shared" si="36"/>
        <v>NA</v>
      </c>
      <c r="R347" t="str">
        <f t="shared" si="37"/>
        <v>NA</v>
      </c>
      <c r="S347" t="str">
        <f t="shared" si="38"/>
        <v>NA</v>
      </c>
      <c r="T347" t="str">
        <f t="shared" si="39"/>
        <v>NA</v>
      </c>
      <c r="U347">
        <f t="shared" si="40"/>
        <v>0</v>
      </c>
    </row>
    <row r="348" spans="1:21">
      <c r="A348">
        <v>331</v>
      </c>
      <c r="B348" s="1">
        <v>45213</v>
      </c>
      <c r="C348" t="s">
        <v>13</v>
      </c>
      <c r="D348" t="s">
        <v>14</v>
      </c>
      <c r="E348" t="s">
        <v>58</v>
      </c>
      <c r="F348" s="1">
        <v>45213</v>
      </c>
      <c r="G348" t="s">
        <v>13</v>
      </c>
      <c r="H348" t="s">
        <v>14</v>
      </c>
      <c r="I348" t="s">
        <v>58</v>
      </c>
      <c r="J348" t="s">
        <v>22</v>
      </c>
      <c r="K348" t="s">
        <v>22</v>
      </c>
      <c r="L348" t="s">
        <v>22</v>
      </c>
      <c r="M348">
        <v>100</v>
      </c>
      <c r="N348" t="s">
        <v>22</v>
      </c>
      <c r="O348" t="s">
        <v>22</v>
      </c>
      <c r="P348" s="3">
        <f t="shared" si="41"/>
        <v>1</v>
      </c>
      <c r="Q348" t="str">
        <f t="shared" si="36"/>
        <v>NA</v>
      </c>
      <c r="R348" t="str">
        <f t="shared" si="37"/>
        <v>NA</v>
      </c>
      <c r="S348" t="str">
        <f t="shared" si="38"/>
        <v>NA</v>
      </c>
      <c r="T348" t="str">
        <f t="shared" si="39"/>
        <v>NA</v>
      </c>
      <c r="U348">
        <f t="shared" si="40"/>
        <v>0</v>
      </c>
    </row>
    <row r="349" spans="1:21">
      <c r="A349">
        <v>333</v>
      </c>
      <c r="B349" s="1">
        <v>45213</v>
      </c>
      <c r="C349" t="s">
        <v>20</v>
      </c>
      <c r="D349" t="s">
        <v>21</v>
      </c>
      <c r="E349" t="s">
        <v>22</v>
      </c>
      <c r="F349" s="1">
        <v>45213</v>
      </c>
      <c r="G349" t="s">
        <v>20</v>
      </c>
      <c r="H349" t="s">
        <v>21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s="3">
        <f t="shared" si="41"/>
        <v>0</v>
      </c>
      <c r="Q349" t="str">
        <f t="shared" si="36"/>
        <v>NA</v>
      </c>
      <c r="R349" t="str">
        <f t="shared" si="37"/>
        <v>NA</v>
      </c>
      <c r="S349" t="str">
        <f t="shared" si="38"/>
        <v>NA</v>
      </c>
      <c r="T349" t="str">
        <f t="shared" si="39"/>
        <v>NA</v>
      </c>
      <c r="U349">
        <f t="shared" si="40"/>
        <v>0</v>
      </c>
    </row>
    <row r="350" spans="1:21">
      <c r="A350">
        <v>335</v>
      </c>
      <c r="B350" s="1">
        <v>45213</v>
      </c>
      <c r="C350" t="s">
        <v>25</v>
      </c>
      <c r="D350" t="s">
        <v>26</v>
      </c>
      <c r="E350" t="s">
        <v>15</v>
      </c>
      <c r="F350" s="1">
        <v>45213</v>
      </c>
      <c r="G350" t="s">
        <v>25</v>
      </c>
      <c r="H350" t="s">
        <v>26</v>
      </c>
      <c r="I350" t="s">
        <v>15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s="3">
        <f t="shared" si="41"/>
        <v>0</v>
      </c>
      <c r="Q350" t="str">
        <f t="shared" si="36"/>
        <v>NA</v>
      </c>
      <c r="R350" t="str">
        <f t="shared" si="37"/>
        <v>NA</v>
      </c>
      <c r="S350" t="str">
        <f t="shared" si="38"/>
        <v>NA</v>
      </c>
      <c r="T350" t="str">
        <f t="shared" si="39"/>
        <v>NA</v>
      </c>
      <c r="U350">
        <f t="shared" si="40"/>
        <v>0</v>
      </c>
    </row>
    <row r="351" spans="1:21">
      <c r="A351">
        <v>336</v>
      </c>
      <c r="B351" s="1">
        <v>45213</v>
      </c>
      <c r="C351" t="s">
        <v>27</v>
      </c>
      <c r="D351" t="s">
        <v>28</v>
      </c>
      <c r="E351" t="s">
        <v>22</v>
      </c>
      <c r="F351" s="1">
        <v>45213</v>
      </c>
      <c r="G351" t="s">
        <v>27</v>
      </c>
      <c r="H351" t="s">
        <v>28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s="3">
        <f t="shared" si="41"/>
        <v>0</v>
      </c>
      <c r="Q351" t="str">
        <f t="shared" si="36"/>
        <v>NA</v>
      </c>
      <c r="R351" t="str">
        <f t="shared" si="37"/>
        <v>NA</v>
      </c>
      <c r="S351" t="str">
        <f t="shared" si="38"/>
        <v>NA</v>
      </c>
      <c r="T351" t="str">
        <f t="shared" si="39"/>
        <v>NA</v>
      </c>
      <c r="U351">
        <f t="shared" si="40"/>
        <v>0</v>
      </c>
    </row>
    <row r="352" spans="1:21">
      <c r="A352">
        <v>337</v>
      </c>
      <c r="B352" s="1">
        <v>45213</v>
      </c>
      <c r="C352" t="s">
        <v>29</v>
      </c>
      <c r="D352" t="s">
        <v>30</v>
      </c>
      <c r="E352" t="s">
        <v>22</v>
      </c>
      <c r="F352" s="1">
        <v>45213</v>
      </c>
      <c r="G352" t="s">
        <v>29</v>
      </c>
      <c r="H352" t="s">
        <v>30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s="3">
        <f t="shared" si="41"/>
        <v>0</v>
      </c>
      <c r="Q352" t="str">
        <f t="shared" si="36"/>
        <v>NA</v>
      </c>
      <c r="R352" t="str">
        <f t="shared" si="37"/>
        <v>NA</v>
      </c>
      <c r="S352" t="str">
        <f t="shared" si="38"/>
        <v>NA</v>
      </c>
      <c r="T352" t="str">
        <f t="shared" si="39"/>
        <v>NA</v>
      </c>
      <c r="U352">
        <f t="shared" si="40"/>
        <v>0</v>
      </c>
    </row>
    <row r="353" spans="1:21">
      <c r="A353">
        <v>338</v>
      </c>
      <c r="B353" s="1">
        <v>45213</v>
      </c>
      <c r="C353" t="s">
        <v>31</v>
      </c>
      <c r="D353" t="s">
        <v>32</v>
      </c>
      <c r="E353" t="s">
        <v>22</v>
      </c>
      <c r="F353" s="1">
        <v>45213</v>
      </c>
      <c r="G353" t="s">
        <v>31</v>
      </c>
      <c r="H353" t="s">
        <v>32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s="3">
        <f t="shared" si="41"/>
        <v>0</v>
      </c>
      <c r="Q353" t="str">
        <f t="shared" si="36"/>
        <v>NA</v>
      </c>
      <c r="R353" t="str">
        <f t="shared" si="37"/>
        <v>NA</v>
      </c>
      <c r="S353" t="str">
        <f t="shared" si="38"/>
        <v>NA</v>
      </c>
      <c r="T353" t="str">
        <f t="shared" si="39"/>
        <v>NA</v>
      </c>
      <c r="U353">
        <f t="shared" si="40"/>
        <v>0</v>
      </c>
    </row>
    <row r="354" spans="1:21">
      <c r="A354">
        <v>339</v>
      </c>
      <c r="B354" s="1">
        <v>45213</v>
      </c>
      <c r="C354" t="s">
        <v>33</v>
      </c>
      <c r="D354" t="s">
        <v>34</v>
      </c>
      <c r="E354" t="s">
        <v>22</v>
      </c>
      <c r="F354" s="1">
        <v>45213</v>
      </c>
      <c r="G354" t="s">
        <v>33</v>
      </c>
      <c r="H354" t="s">
        <v>34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s="3">
        <f t="shared" si="41"/>
        <v>0</v>
      </c>
      <c r="Q354" t="str">
        <f t="shared" si="36"/>
        <v>NA</v>
      </c>
      <c r="R354" t="str">
        <f t="shared" si="37"/>
        <v>NA</v>
      </c>
      <c r="S354" t="str">
        <f t="shared" si="38"/>
        <v>NA</v>
      </c>
      <c r="T354" t="str">
        <f t="shared" si="39"/>
        <v>NA</v>
      </c>
      <c r="U354">
        <f t="shared" si="40"/>
        <v>0</v>
      </c>
    </row>
    <row r="355" spans="1:21">
      <c r="A355">
        <v>340</v>
      </c>
      <c r="B355" s="1">
        <v>45213</v>
      </c>
      <c r="C355" t="s">
        <v>35</v>
      </c>
      <c r="D355" t="s">
        <v>36</v>
      </c>
      <c r="E355" t="s">
        <v>15</v>
      </c>
      <c r="F355" s="1">
        <v>45213</v>
      </c>
      <c r="G355" t="s">
        <v>35</v>
      </c>
      <c r="H355" t="s">
        <v>36</v>
      </c>
      <c r="I355" t="s">
        <v>15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s="3">
        <f t="shared" si="41"/>
        <v>0</v>
      </c>
      <c r="Q355" t="str">
        <f t="shared" si="36"/>
        <v>NA</v>
      </c>
      <c r="R355" t="str">
        <f t="shared" si="37"/>
        <v>NA</v>
      </c>
      <c r="S355" t="str">
        <f t="shared" si="38"/>
        <v>NA</v>
      </c>
      <c r="T355" t="str">
        <f t="shared" si="39"/>
        <v>NA</v>
      </c>
      <c r="U355">
        <f t="shared" si="40"/>
        <v>0</v>
      </c>
    </row>
    <row r="356" spans="1:21">
      <c r="A356">
        <v>341</v>
      </c>
      <c r="B356" s="1">
        <v>45213</v>
      </c>
      <c r="C356" t="s">
        <v>37</v>
      </c>
      <c r="D356" t="s">
        <v>38</v>
      </c>
      <c r="E356" t="s">
        <v>22</v>
      </c>
      <c r="F356" s="1">
        <v>45213</v>
      </c>
      <c r="G356" t="s">
        <v>37</v>
      </c>
      <c r="H356" t="s">
        <v>38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s="3">
        <f t="shared" si="41"/>
        <v>0</v>
      </c>
      <c r="Q356" t="str">
        <f t="shared" si="36"/>
        <v>NA</v>
      </c>
      <c r="R356" t="str">
        <f t="shared" si="37"/>
        <v>NA</v>
      </c>
      <c r="S356" t="str">
        <f t="shared" si="38"/>
        <v>NA</v>
      </c>
      <c r="T356" t="str">
        <f t="shared" si="39"/>
        <v>NA</v>
      </c>
      <c r="U356">
        <f t="shared" si="40"/>
        <v>0</v>
      </c>
    </row>
    <row r="357" spans="1:21">
      <c r="A357">
        <v>342</v>
      </c>
      <c r="B357" s="1">
        <v>45213</v>
      </c>
      <c r="C357" t="s">
        <v>39</v>
      </c>
      <c r="D357" t="s">
        <v>40</v>
      </c>
      <c r="E357" t="s">
        <v>15</v>
      </c>
      <c r="F357" s="1">
        <v>45213</v>
      </c>
      <c r="G357" t="s">
        <v>39</v>
      </c>
      <c r="H357" t="s">
        <v>40</v>
      </c>
      <c r="I357" t="s">
        <v>15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s="3">
        <f t="shared" si="41"/>
        <v>0</v>
      </c>
      <c r="Q357" t="str">
        <f t="shared" si="36"/>
        <v>NA</v>
      </c>
      <c r="R357" t="str">
        <f t="shared" si="37"/>
        <v>NA</v>
      </c>
      <c r="S357" t="str">
        <f t="shared" si="38"/>
        <v>NA</v>
      </c>
      <c r="T357" t="str">
        <f t="shared" si="39"/>
        <v>NA</v>
      </c>
      <c r="U357">
        <f t="shared" si="40"/>
        <v>0</v>
      </c>
    </row>
    <row r="358" spans="1:21">
      <c r="A358">
        <v>343</v>
      </c>
      <c r="B358" s="1">
        <v>45213</v>
      </c>
      <c r="C358" t="s">
        <v>41</v>
      </c>
      <c r="D358" t="s">
        <v>42</v>
      </c>
      <c r="E358" t="s">
        <v>22</v>
      </c>
      <c r="F358" s="1">
        <v>45213</v>
      </c>
      <c r="G358" t="s">
        <v>41</v>
      </c>
      <c r="H358" t="s">
        <v>42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s="3">
        <f t="shared" si="41"/>
        <v>0</v>
      </c>
      <c r="Q358" t="str">
        <f t="shared" si="36"/>
        <v>NA</v>
      </c>
      <c r="R358" t="str">
        <f t="shared" si="37"/>
        <v>NA</v>
      </c>
      <c r="S358" t="str">
        <f t="shared" si="38"/>
        <v>NA</v>
      </c>
      <c r="T358" t="str">
        <f t="shared" si="39"/>
        <v>NA</v>
      </c>
      <c r="U358">
        <f t="shared" si="40"/>
        <v>0</v>
      </c>
    </row>
    <row r="359" spans="1:21">
      <c r="A359">
        <v>346</v>
      </c>
      <c r="B359" s="1">
        <v>45213</v>
      </c>
      <c r="C359" t="s">
        <v>48</v>
      </c>
      <c r="D359" t="s">
        <v>49</v>
      </c>
      <c r="E359" t="s">
        <v>22</v>
      </c>
      <c r="F359" s="1">
        <v>45213</v>
      </c>
      <c r="G359" t="s">
        <v>48</v>
      </c>
      <c r="H359" t="s">
        <v>49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s="3">
        <f t="shared" si="41"/>
        <v>0</v>
      </c>
      <c r="Q359" t="str">
        <f t="shared" si="36"/>
        <v>NA</v>
      </c>
      <c r="R359" t="str">
        <f t="shared" si="37"/>
        <v>NA</v>
      </c>
      <c r="S359" t="str">
        <f t="shared" si="38"/>
        <v>NA</v>
      </c>
      <c r="T359" t="str">
        <f t="shared" si="39"/>
        <v>NA</v>
      </c>
      <c r="U359">
        <f t="shared" si="40"/>
        <v>0</v>
      </c>
    </row>
    <row r="360" spans="1:21">
      <c r="A360">
        <v>347</v>
      </c>
      <c r="B360" s="1">
        <v>45213</v>
      </c>
      <c r="C360" t="s">
        <v>50</v>
      </c>
      <c r="D360" t="s">
        <v>51</v>
      </c>
      <c r="E360" t="s">
        <v>15</v>
      </c>
      <c r="F360" s="1">
        <v>45213</v>
      </c>
      <c r="G360" t="s">
        <v>50</v>
      </c>
      <c r="H360" t="s">
        <v>51</v>
      </c>
      <c r="I360" t="s">
        <v>15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s="3">
        <f t="shared" si="41"/>
        <v>0</v>
      </c>
      <c r="Q360" t="str">
        <f t="shared" si="36"/>
        <v>NA</v>
      </c>
      <c r="R360" t="str">
        <f t="shared" si="37"/>
        <v>NA</v>
      </c>
      <c r="S360" t="str">
        <f t="shared" si="38"/>
        <v>NA</v>
      </c>
      <c r="T360" t="str">
        <f t="shared" si="39"/>
        <v>NA</v>
      </c>
      <c r="U360">
        <f t="shared" si="40"/>
        <v>0</v>
      </c>
    </row>
    <row r="361" spans="1:21">
      <c r="A361">
        <v>348</v>
      </c>
      <c r="B361" s="1">
        <v>45213</v>
      </c>
      <c r="C361" t="s">
        <v>53</v>
      </c>
      <c r="D361" t="s">
        <v>54</v>
      </c>
      <c r="E361" t="s">
        <v>154</v>
      </c>
      <c r="F361" s="1">
        <v>45213</v>
      </c>
      <c r="G361" t="s">
        <v>53</v>
      </c>
      <c r="H361" t="s">
        <v>54</v>
      </c>
      <c r="I361" t="s">
        <v>154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s="3">
        <f t="shared" si="41"/>
        <v>0</v>
      </c>
      <c r="Q361" t="str">
        <f t="shared" si="36"/>
        <v>NA</v>
      </c>
      <c r="R361" t="str">
        <f t="shared" si="37"/>
        <v>NA</v>
      </c>
      <c r="S361" t="str">
        <f t="shared" si="38"/>
        <v>NA</v>
      </c>
      <c r="T361" t="str">
        <f t="shared" si="39"/>
        <v>NA</v>
      </c>
      <c r="U361">
        <f t="shared" si="40"/>
        <v>0</v>
      </c>
    </row>
    <row r="362" spans="1:21">
      <c r="A362">
        <v>351</v>
      </c>
      <c r="B362" s="1">
        <v>45213</v>
      </c>
      <c r="C362" t="s">
        <v>61</v>
      </c>
      <c r="D362" t="s">
        <v>62</v>
      </c>
      <c r="E362" t="s">
        <v>22</v>
      </c>
      <c r="F362" s="1">
        <v>45213</v>
      </c>
      <c r="G362" t="s">
        <v>61</v>
      </c>
      <c r="H362" t="s">
        <v>62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s="3">
        <f t="shared" si="41"/>
        <v>0</v>
      </c>
      <c r="Q362" t="str">
        <f t="shared" si="36"/>
        <v>NA</v>
      </c>
      <c r="R362" t="str">
        <f t="shared" si="37"/>
        <v>NA</v>
      </c>
      <c r="S362" t="str">
        <f t="shared" si="38"/>
        <v>NA</v>
      </c>
      <c r="T362" t="str">
        <f t="shared" si="39"/>
        <v>NA</v>
      </c>
      <c r="U362">
        <f t="shared" si="40"/>
        <v>0</v>
      </c>
    </row>
    <row r="363" spans="1:21">
      <c r="A363">
        <v>353</v>
      </c>
      <c r="B363" s="1">
        <v>45213</v>
      </c>
      <c r="C363" t="s">
        <v>66</v>
      </c>
      <c r="D363" t="s">
        <v>67</v>
      </c>
      <c r="E363" t="s">
        <v>22</v>
      </c>
      <c r="F363" s="1">
        <v>45213</v>
      </c>
      <c r="G363" t="s">
        <v>66</v>
      </c>
      <c r="H363" t="s">
        <v>67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s="3">
        <f t="shared" si="41"/>
        <v>0</v>
      </c>
      <c r="Q363" t="str">
        <f t="shared" si="36"/>
        <v>NA</v>
      </c>
      <c r="R363" t="str">
        <f t="shared" si="37"/>
        <v>NA</v>
      </c>
      <c r="S363" t="str">
        <f t="shared" si="38"/>
        <v>NA</v>
      </c>
      <c r="T363" t="str">
        <f t="shared" si="39"/>
        <v>NA</v>
      </c>
      <c r="U363">
        <f t="shared" si="40"/>
        <v>0</v>
      </c>
    </row>
    <row r="364" spans="1:21">
      <c r="A364">
        <v>354</v>
      </c>
      <c r="B364" s="1">
        <v>45213</v>
      </c>
      <c r="C364" t="s">
        <v>68</v>
      </c>
      <c r="D364" t="s">
        <v>69</v>
      </c>
      <c r="E364" t="s">
        <v>15</v>
      </c>
      <c r="F364" s="1">
        <v>45213</v>
      </c>
      <c r="G364" t="s">
        <v>68</v>
      </c>
      <c r="H364" t="s">
        <v>69</v>
      </c>
      <c r="I364" t="s">
        <v>15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s="3">
        <f t="shared" si="41"/>
        <v>0</v>
      </c>
      <c r="Q364" t="str">
        <f t="shared" si="36"/>
        <v>NA</v>
      </c>
      <c r="R364" t="str">
        <f t="shared" si="37"/>
        <v>NA</v>
      </c>
      <c r="S364" t="str">
        <f t="shared" si="38"/>
        <v>NA</v>
      </c>
      <c r="T364" t="str">
        <f t="shared" si="39"/>
        <v>NA</v>
      </c>
      <c r="U364">
        <f t="shared" si="40"/>
        <v>0</v>
      </c>
    </row>
    <row r="365" spans="1:21">
      <c r="A365">
        <v>355</v>
      </c>
      <c r="B365" s="1">
        <v>45213</v>
      </c>
      <c r="C365" t="s">
        <v>70</v>
      </c>
      <c r="D365" t="s">
        <v>71</v>
      </c>
      <c r="E365" t="s">
        <v>15</v>
      </c>
      <c r="F365" s="1">
        <v>45213</v>
      </c>
      <c r="G365" t="s">
        <v>70</v>
      </c>
      <c r="H365" t="s">
        <v>71</v>
      </c>
      <c r="I365" t="s">
        <v>15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s="3">
        <f t="shared" si="41"/>
        <v>0</v>
      </c>
      <c r="Q365" t="str">
        <f t="shared" si="36"/>
        <v>NA</v>
      </c>
      <c r="R365" t="str">
        <f t="shared" si="37"/>
        <v>NA</v>
      </c>
      <c r="S365" t="str">
        <f t="shared" si="38"/>
        <v>NA</v>
      </c>
      <c r="T365" t="str">
        <f t="shared" si="39"/>
        <v>NA</v>
      </c>
      <c r="U365">
        <f t="shared" si="40"/>
        <v>0</v>
      </c>
    </row>
    <row r="366" spans="1:21">
      <c r="A366">
        <v>356</v>
      </c>
      <c r="B366" s="1">
        <v>45213</v>
      </c>
      <c r="C366" t="s">
        <v>72</v>
      </c>
      <c r="D366" t="s">
        <v>73</v>
      </c>
      <c r="E366" t="s">
        <v>65</v>
      </c>
      <c r="F366" s="1">
        <v>45213</v>
      </c>
      <c r="G366" t="s">
        <v>72</v>
      </c>
      <c r="H366" t="s">
        <v>73</v>
      </c>
      <c r="I366" t="s">
        <v>65</v>
      </c>
      <c r="J366" t="s">
        <v>22</v>
      </c>
      <c r="K366">
        <v>100</v>
      </c>
      <c r="L366" t="s">
        <v>22</v>
      </c>
      <c r="M366" t="s">
        <v>22</v>
      </c>
      <c r="N366" t="s">
        <v>22</v>
      </c>
      <c r="O366" t="s">
        <v>22</v>
      </c>
      <c r="P366" s="3">
        <f t="shared" si="41"/>
        <v>1</v>
      </c>
      <c r="Q366" t="str">
        <f t="shared" si="36"/>
        <v>NA</v>
      </c>
      <c r="R366" t="str">
        <f t="shared" si="37"/>
        <v>NA</v>
      </c>
      <c r="S366" t="str">
        <f t="shared" si="38"/>
        <v>NA</v>
      </c>
      <c r="T366" t="str">
        <f t="shared" si="39"/>
        <v>NA</v>
      </c>
      <c r="U366">
        <f t="shared" si="40"/>
        <v>0</v>
      </c>
    </row>
    <row r="367" spans="1:21">
      <c r="A367">
        <v>357</v>
      </c>
      <c r="B367" s="1">
        <v>45213</v>
      </c>
      <c r="C367" t="s">
        <v>74</v>
      </c>
      <c r="D367" t="s">
        <v>75</v>
      </c>
      <c r="E367" t="s">
        <v>15</v>
      </c>
      <c r="F367" s="1">
        <v>45213</v>
      </c>
      <c r="G367" t="s">
        <v>74</v>
      </c>
      <c r="H367" t="s">
        <v>75</v>
      </c>
      <c r="I367" t="s">
        <v>15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s="3">
        <f t="shared" si="41"/>
        <v>0</v>
      </c>
      <c r="Q367" t="str">
        <f t="shared" si="36"/>
        <v>NA</v>
      </c>
      <c r="R367" t="str">
        <f t="shared" si="37"/>
        <v>NA</v>
      </c>
      <c r="S367" t="str">
        <f t="shared" si="38"/>
        <v>NA</v>
      </c>
      <c r="T367" t="str">
        <f t="shared" si="39"/>
        <v>NA</v>
      </c>
      <c r="U367">
        <f t="shared" si="40"/>
        <v>0</v>
      </c>
    </row>
    <row r="368" spans="1:21">
      <c r="A368">
        <v>358</v>
      </c>
      <c r="B368" s="1">
        <v>45213</v>
      </c>
      <c r="C368" t="s">
        <v>79</v>
      </c>
      <c r="D368" t="s">
        <v>80</v>
      </c>
      <c r="E368" t="s">
        <v>15</v>
      </c>
      <c r="F368" s="1">
        <v>45213</v>
      </c>
      <c r="G368" t="s">
        <v>79</v>
      </c>
      <c r="H368" t="s">
        <v>80</v>
      </c>
      <c r="I368" t="s">
        <v>15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s="3">
        <f t="shared" si="41"/>
        <v>0</v>
      </c>
      <c r="Q368" t="str">
        <f t="shared" si="36"/>
        <v>NA</v>
      </c>
      <c r="R368" t="str">
        <f t="shared" si="37"/>
        <v>NA</v>
      </c>
      <c r="S368" t="str">
        <f t="shared" si="38"/>
        <v>NA</v>
      </c>
      <c r="T368" t="str">
        <f t="shared" si="39"/>
        <v>NA</v>
      </c>
      <c r="U368">
        <f t="shared" si="40"/>
        <v>0</v>
      </c>
    </row>
    <row r="369" spans="1:21">
      <c r="A369">
        <v>359</v>
      </c>
      <c r="B369" s="1">
        <v>45213</v>
      </c>
      <c r="C369" t="s">
        <v>90</v>
      </c>
      <c r="D369" t="s">
        <v>130</v>
      </c>
      <c r="E369" t="s">
        <v>15</v>
      </c>
      <c r="F369" s="1">
        <v>45213</v>
      </c>
      <c r="G369" t="s">
        <v>90</v>
      </c>
      <c r="H369" t="s">
        <v>130</v>
      </c>
      <c r="I369" t="s">
        <v>15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s="3">
        <f t="shared" si="41"/>
        <v>0</v>
      </c>
      <c r="Q369" t="str">
        <f t="shared" si="36"/>
        <v>NA</v>
      </c>
      <c r="R369" t="str">
        <f t="shared" si="37"/>
        <v>NA</v>
      </c>
      <c r="S369" t="str">
        <f t="shared" si="38"/>
        <v>NA</v>
      </c>
      <c r="T369" t="str">
        <f t="shared" si="39"/>
        <v>NA</v>
      </c>
      <c r="U369">
        <f t="shared" si="40"/>
        <v>0</v>
      </c>
    </row>
    <row r="370" spans="1:21">
      <c r="A370">
        <v>360</v>
      </c>
      <c r="B370" s="1">
        <v>45229</v>
      </c>
      <c r="C370" t="s">
        <v>13</v>
      </c>
      <c r="D370" t="s">
        <v>14</v>
      </c>
      <c r="E370">
        <v>0</v>
      </c>
      <c r="F370" s="1">
        <v>45229</v>
      </c>
      <c r="G370" t="s">
        <v>13</v>
      </c>
      <c r="H370" t="s">
        <v>14</v>
      </c>
      <c r="I370">
        <v>0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s="3">
        <f t="shared" si="41"/>
        <v>0</v>
      </c>
      <c r="Q370" t="str">
        <f t="shared" si="36"/>
        <v>NA</v>
      </c>
      <c r="R370" t="str">
        <f t="shared" si="37"/>
        <v>NA</v>
      </c>
      <c r="S370" t="str">
        <f t="shared" si="38"/>
        <v>NA</v>
      </c>
      <c r="T370" t="str">
        <f t="shared" si="39"/>
        <v>NA</v>
      </c>
      <c r="U370">
        <f t="shared" si="40"/>
        <v>0</v>
      </c>
    </row>
    <row r="371" spans="1:21">
      <c r="A371">
        <v>362</v>
      </c>
      <c r="B371" s="1">
        <v>45229</v>
      </c>
      <c r="C371" t="s">
        <v>20</v>
      </c>
      <c r="D371" t="s">
        <v>21</v>
      </c>
      <c r="E371" t="s">
        <v>22</v>
      </c>
      <c r="F371" s="1">
        <v>45229</v>
      </c>
      <c r="G371" t="s">
        <v>20</v>
      </c>
      <c r="H371" t="s">
        <v>21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s="3">
        <f t="shared" si="41"/>
        <v>0</v>
      </c>
      <c r="Q371" t="str">
        <f t="shared" si="36"/>
        <v>NA</v>
      </c>
      <c r="R371" t="str">
        <f t="shared" si="37"/>
        <v>NA</v>
      </c>
      <c r="S371" t="str">
        <f t="shared" si="38"/>
        <v>NA</v>
      </c>
      <c r="T371" t="str">
        <f t="shared" si="39"/>
        <v>NA</v>
      </c>
      <c r="U371">
        <f t="shared" si="40"/>
        <v>0</v>
      </c>
    </row>
    <row r="372" spans="1:21">
      <c r="A372">
        <v>364</v>
      </c>
      <c r="B372" s="1">
        <v>45229</v>
      </c>
      <c r="C372" t="s">
        <v>25</v>
      </c>
      <c r="D372" t="s">
        <v>26</v>
      </c>
      <c r="E372">
        <v>0</v>
      </c>
      <c r="F372" s="1">
        <v>45229</v>
      </c>
      <c r="G372" t="s">
        <v>25</v>
      </c>
      <c r="H372" t="s">
        <v>26</v>
      </c>
      <c r="I372">
        <v>0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s="3">
        <f t="shared" si="41"/>
        <v>0</v>
      </c>
      <c r="Q372" t="str">
        <f t="shared" si="36"/>
        <v>NA</v>
      </c>
      <c r="R372" t="str">
        <f t="shared" si="37"/>
        <v>NA</v>
      </c>
      <c r="S372" t="str">
        <f t="shared" si="38"/>
        <v>NA</v>
      </c>
      <c r="T372" t="str">
        <f t="shared" si="39"/>
        <v>NA</v>
      </c>
      <c r="U372">
        <f t="shared" si="40"/>
        <v>0</v>
      </c>
    </row>
    <row r="373" spans="1:21">
      <c r="A373">
        <v>365</v>
      </c>
      <c r="B373" s="1">
        <v>45229</v>
      </c>
      <c r="C373" t="s">
        <v>27</v>
      </c>
      <c r="D373" t="s">
        <v>28</v>
      </c>
      <c r="E373" t="s">
        <v>22</v>
      </c>
      <c r="F373" s="1">
        <v>45229</v>
      </c>
      <c r="G373" t="s">
        <v>27</v>
      </c>
      <c r="H373" t="s">
        <v>28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s="3">
        <f t="shared" si="41"/>
        <v>0</v>
      </c>
      <c r="Q373" t="str">
        <f t="shared" si="36"/>
        <v>NA</v>
      </c>
      <c r="R373" t="str">
        <f t="shared" si="37"/>
        <v>NA</v>
      </c>
      <c r="S373" t="str">
        <f t="shared" si="38"/>
        <v>NA</v>
      </c>
      <c r="T373" t="str">
        <f t="shared" si="39"/>
        <v>NA</v>
      </c>
      <c r="U373">
        <f t="shared" si="40"/>
        <v>0</v>
      </c>
    </row>
    <row r="374" spans="1:21">
      <c r="A374">
        <v>366</v>
      </c>
      <c r="B374" s="1">
        <v>45229</v>
      </c>
      <c r="C374" t="s">
        <v>29</v>
      </c>
      <c r="D374" t="s">
        <v>30</v>
      </c>
      <c r="E374" t="s">
        <v>22</v>
      </c>
      <c r="F374" s="1">
        <v>45229</v>
      </c>
      <c r="G374" t="s">
        <v>29</v>
      </c>
      <c r="H374" t="s">
        <v>30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s="3">
        <f t="shared" si="41"/>
        <v>0</v>
      </c>
      <c r="Q374" t="str">
        <f t="shared" si="36"/>
        <v>NA</v>
      </c>
      <c r="R374" t="str">
        <f t="shared" si="37"/>
        <v>NA</v>
      </c>
      <c r="S374" t="str">
        <f t="shared" si="38"/>
        <v>NA</v>
      </c>
      <c r="T374" t="str">
        <f t="shared" si="39"/>
        <v>NA</v>
      </c>
      <c r="U374">
        <f t="shared" si="40"/>
        <v>0</v>
      </c>
    </row>
    <row r="375" spans="1:21">
      <c r="A375">
        <v>367</v>
      </c>
      <c r="B375" s="1">
        <v>45229</v>
      </c>
      <c r="C375" t="s">
        <v>31</v>
      </c>
      <c r="D375" t="s">
        <v>32</v>
      </c>
      <c r="E375" t="s">
        <v>22</v>
      </c>
      <c r="F375" s="1">
        <v>45229</v>
      </c>
      <c r="G375" t="s">
        <v>31</v>
      </c>
      <c r="H375" t="s">
        <v>32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s="3">
        <f t="shared" si="41"/>
        <v>0</v>
      </c>
      <c r="Q375" t="str">
        <f t="shared" si="36"/>
        <v>NA</v>
      </c>
      <c r="R375" t="str">
        <f t="shared" si="37"/>
        <v>NA</v>
      </c>
      <c r="S375" t="str">
        <f t="shared" si="38"/>
        <v>NA</v>
      </c>
      <c r="T375" t="str">
        <f t="shared" si="39"/>
        <v>NA</v>
      </c>
      <c r="U375">
        <f t="shared" si="40"/>
        <v>0</v>
      </c>
    </row>
    <row r="376" spans="1:21">
      <c r="A376">
        <v>368</v>
      </c>
      <c r="B376" s="1">
        <v>45229</v>
      </c>
      <c r="C376" t="s">
        <v>33</v>
      </c>
      <c r="D376" t="s">
        <v>34</v>
      </c>
      <c r="E376">
        <v>0</v>
      </c>
      <c r="F376" s="1">
        <v>45229</v>
      </c>
      <c r="G376" t="s">
        <v>33</v>
      </c>
      <c r="H376" t="s">
        <v>34</v>
      </c>
      <c r="I376">
        <v>0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s="3">
        <f t="shared" si="41"/>
        <v>0</v>
      </c>
      <c r="Q376" t="str">
        <f t="shared" si="36"/>
        <v>NA</v>
      </c>
      <c r="R376" t="str">
        <f t="shared" si="37"/>
        <v>NA</v>
      </c>
      <c r="S376" t="str">
        <f t="shared" si="38"/>
        <v>NA</v>
      </c>
      <c r="T376" t="str">
        <f t="shared" si="39"/>
        <v>NA</v>
      </c>
      <c r="U376">
        <f t="shared" si="40"/>
        <v>0</v>
      </c>
    </row>
    <row r="377" spans="1:21">
      <c r="A377">
        <v>369</v>
      </c>
      <c r="B377" s="1">
        <v>45229</v>
      </c>
      <c r="C377" t="s">
        <v>35</v>
      </c>
      <c r="D377" t="s">
        <v>36</v>
      </c>
      <c r="E377" t="s">
        <v>22</v>
      </c>
      <c r="F377" s="1">
        <v>45229</v>
      </c>
      <c r="G377" t="s">
        <v>35</v>
      </c>
      <c r="H377" t="s">
        <v>36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s="3">
        <f t="shared" si="41"/>
        <v>0</v>
      </c>
      <c r="Q377" t="str">
        <f t="shared" si="36"/>
        <v>NA</v>
      </c>
      <c r="R377" t="str">
        <f t="shared" si="37"/>
        <v>NA</v>
      </c>
      <c r="S377" t="str">
        <f t="shared" si="38"/>
        <v>NA</v>
      </c>
      <c r="T377" t="str">
        <f t="shared" si="39"/>
        <v>NA</v>
      </c>
      <c r="U377">
        <f t="shared" si="40"/>
        <v>0</v>
      </c>
    </row>
    <row r="378" spans="1:21">
      <c r="A378">
        <v>370</v>
      </c>
      <c r="B378" s="1">
        <v>45229</v>
      </c>
      <c r="C378" t="s">
        <v>37</v>
      </c>
      <c r="D378" t="s">
        <v>38</v>
      </c>
      <c r="E378" t="s">
        <v>22</v>
      </c>
      <c r="F378" s="1">
        <v>45229</v>
      </c>
      <c r="G378" t="s">
        <v>37</v>
      </c>
      <c r="H378" t="s">
        <v>38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s="3">
        <f t="shared" si="41"/>
        <v>0</v>
      </c>
      <c r="Q378" t="str">
        <f t="shared" si="36"/>
        <v>NA</v>
      </c>
      <c r="R378" t="str">
        <f t="shared" si="37"/>
        <v>NA</v>
      </c>
      <c r="S378" t="str">
        <f t="shared" si="38"/>
        <v>NA</v>
      </c>
      <c r="T378" t="str">
        <f t="shared" si="39"/>
        <v>NA</v>
      </c>
      <c r="U378">
        <f t="shared" si="40"/>
        <v>0</v>
      </c>
    </row>
    <row r="379" spans="1:21">
      <c r="A379">
        <v>371</v>
      </c>
      <c r="B379" s="1">
        <v>45229</v>
      </c>
      <c r="C379" t="s">
        <v>39</v>
      </c>
      <c r="D379" t="s">
        <v>40</v>
      </c>
      <c r="E379" t="s">
        <v>15</v>
      </c>
      <c r="F379" s="1">
        <v>45229</v>
      </c>
      <c r="G379" t="s">
        <v>39</v>
      </c>
      <c r="H379" t="s">
        <v>40</v>
      </c>
      <c r="I379" t="s">
        <v>15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s="3">
        <f t="shared" si="41"/>
        <v>0</v>
      </c>
      <c r="Q379" t="str">
        <f t="shared" si="36"/>
        <v>NA</v>
      </c>
      <c r="R379" t="str">
        <f t="shared" si="37"/>
        <v>NA</v>
      </c>
      <c r="S379" t="str">
        <f t="shared" si="38"/>
        <v>NA</v>
      </c>
      <c r="T379" t="str">
        <f t="shared" si="39"/>
        <v>NA</v>
      </c>
      <c r="U379">
        <f t="shared" si="40"/>
        <v>0</v>
      </c>
    </row>
    <row r="380" spans="1:21">
      <c r="A380">
        <v>372</v>
      </c>
      <c r="B380" s="1">
        <v>45229</v>
      </c>
      <c r="C380" t="s">
        <v>41</v>
      </c>
      <c r="D380" t="s">
        <v>42</v>
      </c>
      <c r="E380" t="s">
        <v>22</v>
      </c>
      <c r="F380" s="1">
        <v>45229</v>
      </c>
      <c r="G380" t="s">
        <v>41</v>
      </c>
      <c r="H380" t="s">
        <v>42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s="3">
        <f t="shared" si="41"/>
        <v>0</v>
      </c>
      <c r="Q380" t="str">
        <f t="shared" si="36"/>
        <v>NA</v>
      </c>
      <c r="R380" t="str">
        <f t="shared" si="37"/>
        <v>NA</v>
      </c>
      <c r="S380" t="str">
        <f t="shared" si="38"/>
        <v>NA</v>
      </c>
      <c r="T380" t="str">
        <f t="shared" si="39"/>
        <v>NA</v>
      </c>
      <c r="U380">
        <f t="shared" si="40"/>
        <v>0</v>
      </c>
    </row>
    <row r="381" spans="1:21">
      <c r="A381">
        <v>376</v>
      </c>
      <c r="B381" s="1">
        <v>45229</v>
      </c>
      <c r="C381" t="s">
        <v>50</v>
      </c>
      <c r="D381" t="s">
        <v>51</v>
      </c>
      <c r="E381">
        <v>0</v>
      </c>
      <c r="F381" s="1">
        <v>45229</v>
      </c>
      <c r="G381" t="s">
        <v>50</v>
      </c>
      <c r="H381" t="s">
        <v>51</v>
      </c>
      <c r="I381">
        <v>0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s="3">
        <f t="shared" si="41"/>
        <v>0</v>
      </c>
      <c r="Q381" t="str">
        <f t="shared" si="36"/>
        <v>NA</v>
      </c>
      <c r="R381" t="str">
        <f t="shared" si="37"/>
        <v>NA</v>
      </c>
      <c r="S381" t="str">
        <f t="shared" si="38"/>
        <v>NA</v>
      </c>
      <c r="T381" t="str">
        <f t="shared" si="39"/>
        <v>NA</v>
      </c>
      <c r="U381">
        <f t="shared" si="40"/>
        <v>0</v>
      </c>
    </row>
    <row r="382" spans="1:21">
      <c r="A382">
        <v>377</v>
      </c>
      <c r="B382" s="1">
        <v>45229</v>
      </c>
      <c r="C382" t="s">
        <v>53</v>
      </c>
      <c r="D382" t="s">
        <v>54</v>
      </c>
      <c r="E382">
        <v>0</v>
      </c>
      <c r="F382" s="1">
        <v>45229</v>
      </c>
      <c r="G382" t="s">
        <v>53</v>
      </c>
      <c r="H382" t="s">
        <v>54</v>
      </c>
      <c r="I382">
        <v>0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s="3">
        <f t="shared" si="41"/>
        <v>0</v>
      </c>
      <c r="Q382" t="str">
        <f t="shared" si="36"/>
        <v>NA</v>
      </c>
      <c r="R382" t="str">
        <f t="shared" si="37"/>
        <v>NA</v>
      </c>
      <c r="S382" t="str">
        <f t="shared" si="38"/>
        <v>NA</v>
      </c>
      <c r="T382" t="str">
        <f t="shared" si="39"/>
        <v>NA</v>
      </c>
      <c r="U382">
        <f t="shared" si="40"/>
        <v>0</v>
      </c>
    </row>
    <row r="383" spans="1:21">
      <c r="A383">
        <v>378</v>
      </c>
      <c r="B383" s="1">
        <v>45229</v>
      </c>
      <c r="C383" t="s">
        <v>56</v>
      </c>
      <c r="D383" t="s">
        <v>57</v>
      </c>
      <c r="E383" t="s">
        <v>65</v>
      </c>
      <c r="F383" s="1">
        <v>45229</v>
      </c>
      <c r="G383" t="s">
        <v>56</v>
      </c>
      <c r="H383" t="s">
        <v>57</v>
      </c>
      <c r="I383" t="s">
        <v>65</v>
      </c>
      <c r="J383" t="s">
        <v>22</v>
      </c>
      <c r="K383">
        <v>100</v>
      </c>
      <c r="L383" t="s">
        <v>22</v>
      </c>
      <c r="M383" t="s">
        <v>22</v>
      </c>
      <c r="N383" t="s">
        <v>22</v>
      </c>
      <c r="O383" t="s">
        <v>22</v>
      </c>
      <c r="P383" s="3">
        <f t="shared" si="41"/>
        <v>1</v>
      </c>
      <c r="Q383" t="str">
        <f t="shared" si="36"/>
        <v>NA</v>
      </c>
      <c r="R383" t="str">
        <f t="shared" si="37"/>
        <v>NA</v>
      </c>
      <c r="S383" t="str">
        <f t="shared" si="38"/>
        <v>NA</v>
      </c>
      <c r="T383" t="str">
        <f t="shared" si="39"/>
        <v>NA</v>
      </c>
      <c r="U383">
        <f t="shared" si="40"/>
        <v>0</v>
      </c>
    </row>
    <row r="384" spans="1:21">
      <c r="A384">
        <v>380</v>
      </c>
      <c r="B384" s="1">
        <v>45229</v>
      </c>
      <c r="C384" t="s">
        <v>61</v>
      </c>
      <c r="D384" t="s">
        <v>62</v>
      </c>
      <c r="E384" t="s">
        <v>58</v>
      </c>
      <c r="F384" s="1">
        <v>45229</v>
      </c>
      <c r="G384" t="s">
        <v>61</v>
      </c>
      <c r="H384" t="s">
        <v>62</v>
      </c>
      <c r="I384" t="s">
        <v>58</v>
      </c>
      <c r="J384" t="s">
        <v>22</v>
      </c>
      <c r="K384" t="s">
        <v>22</v>
      </c>
      <c r="L384" t="s">
        <v>22</v>
      </c>
      <c r="M384">
        <v>100</v>
      </c>
      <c r="N384" t="s">
        <v>22</v>
      </c>
      <c r="O384" t="s">
        <v>22</v>
      </c>
      <c r="P384" s="3">
        <f t="shared" si="41"/>
        <v>1</v>
      </c>
      <c r="Q384" t="str">
        <f t="shared" si="36"/>
        <v>NA</v>
      </c>
      <c r="R384" t="str">
        <f t="shared" si="37"/>
        <v>NA</v>
      </c>
      <c r="S384" t="str">
        <f t="shared" si="38"/>
        <v>NA</v>
      </c>
      <c r="T384" t="str">
        <f t="shared" si="39"/>
        <v>NA</v>
      </c>
      <c r="U384">
        <f t="shared" si="40"/>
        <v>0</v>
      </c>
    </row>
    <row r="385" spans="1:21">
      <c r="A385">
        <v>382</v>
      </c>
      <c r="B385" s="1">
        <v>45229</v>
      </c>
      <c r="C385" t="s">
        <v>66</v>
      </c>
      <c r="D385" t="s">
        <v>67</v>
      </c>
      <c r="E385">
        <v>0</v>
      </c>
      <c r="F385" s="1">
        <v>45229</v>
      </c>
      <c r="G385" t="s">
        <v>66</v>
      </c>
      <c r="H385" t="s">
        <v>67</v>
      </c>
      <c r="I385">
        <v>0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s="3">
        <f t="shared" si="41"/>
        <v>0</v>
      </c>
      <c r="Q385" t="str">
        <f t="shared" si="36"/>
        <v>NA</v>
      </c>
      <c r="R385" t="str">
        <f t="shared" si="37"/>
        <v>NA</v>
      </c>
      <c r="S385" t="str">
        <f t="shared" si="38"/>
        <v>NA</v>
      </c>
      <c r="T385" t="str">
        <f t="shared" si="39"/>
        <v>NA</v>
      </c>
      <c r="U385">
        <f t="shared" si="40"/>
        <v>0</v>
      </c>
    </row>
    <row r="386" spans="1:21">
      <c r="A386">
        <v>383</v>
      </c>
      <c r="B386" s="1">
        <v>45229</v>
      </c>
      <c r="C386" t="s">
        <v>68</v>
      </c>
      <c r="D386" t="s">
        <v>69</v>
      </c>
      <c r="E386">
        <v>0</v>
      </c>
      <c r="F386" s="1">
        <v>45229</v>
      </c>
      <c r="G386" t="s">
        <v>68</v>
      </c>
      <c r="H386" t="s">
        <v>69</v>
      </c>
      <c r="I386">
        <v>0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s="3">
        <f t="shared" si="41"/>
        <v>0</v>
      </c>
      <c r="Q386" t="str">
        <f t="shared" si="36"/>
        <v>NA</v>
      </c>
      <c r="R386" t="str">
        <f t="shared" si="37"/>
        <v>NA</v>
      </c>
      <c r="S386" t="str">
        <f t="shared" si="38"/>
        <v>NA</v>
      </c>
      <c r="T386" t="str">
        <f t="shared" si="39"/>
        <v>NA</v>
      </c>
      <c r="U386">
        <f t="shared" si="40"/>
        <v>0</v>
      </c>
    </row>
    <row r="387" spans="1:21">
      <c r="A387">
        <v>384</v>
      </c>
      <c r="B387" s="1">
        <v>45229</v>
      </c>
      <c r="C387" t="s">
        <v>70</v>
      </c>
      <c r="D387" t="s">
        <v>71</v>
      </c>
      <c r="E387" t="s">
        <v>15</v>
      </c>
      <c r="F387" s="1">
        <v>45229</v>
      </c>
      <c r="G387" t="s">
        <v>70</v>
      </c>
      <c r="H387" t="s">
        <v>71</v>
      </c>
      <c r="I387" t="s">
        <v>15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s="3">
        <f t="shared" si="41"/>
        <v>0</v>
      </c>
      <c r="Q387" t="str">
        <f t="shared" si="36"/>
        <v>NA</v>
      </c>
      <c r="R387" t="str">
        <f t="shared" si="37"/>
        <v>NA</v>
      </c>
      <c r="S387" t="str">
        <f t="shared" si="38"/>
        <v>NA</v>
      </c>
      <c r="T387" t="str">
        <f t="shared" si="39"/>
        <v>NA</v>
      </c>
      <c r="U387">
        <f t="shared" si="40"/>
        <v>0</v>
      </c>
    </row>
    <row r="388" spans="1:21">
      <c r="A388">
        <v>385</v>
      </c>
      <c r="B388" s="1">
        <v>45229</v>
      </c>
      <c r="C388" t="s">
        <v>72</v>
      </c>
      <c r="D388" t="s">
        <v>73</v>
      </c>
      <c r="E388" t="s">
        <v>15</v>
      </c>
      <c r="F388" s="1">
        <v>45229</v>
      </c>
      <c r="G388" t="s">
        <v>72</v>
      </c>
      <c r="H388" t="s">
        <v>73</v>
      </c>
      <c r="I388" t="s">
        <v>15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s="3">
        <f t="shared" si="41"/>
        <v>0</v>
      </c>
      <c r="Q388" t="str">
        <f t="shared" si="36"/>
        <v>NA</v>
      </c>
      <c r="R388" t="str">
        <f t="shared" si="37"/>
        <v>NA</v>
      </c>
      <c r="S388" t="str">
        <f t="shared" si="38"/>
        <v>NA</v>
      </c>
      <c r="T388" t="str">
        <f t="shared" si="39"/>
        <v>NA</v>
      </c>
      <c r="U388">
        <f t="shared" ref="U388:U392" si="42">SUM(Q388:T388)</f>
        <v>0</v>
      </c>
    </row>
    <row r="389" spans="1:21">
      <c r="A389">
        <v>386</v>
      </c>
      <c r="B389" s="1">
        <v>45229</v>
      </c>
      <c r="C389" t="s">
        <v>74</v>
      </c>
      <c r="D389" t="s">
        <v>75</v>
      </c>
      <c r="E389" t="s">
        <v>22</v>
      </c>
      <c r="F389" s="1">
        <v>45229</v>
      </c>
      <c r="G389" t="s">
        <v>74</v>
      </c>
      <c r="H389" t="s">
        <v>75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  <c r="P389" s="3">
        <f t="shared" ref="P389:P392" si="43">COUNTA(J389:O389)-COUNTIF(J389:O389,"NA")</f>
        <v>0</v>
      </c>
      <c r="Q389" t="str">
        <f t="shared" si="36"/>
        <v>NA</v>
      </c>
      <c r="R389" t="str">
        <f t="shared" si="37"/>
        <v>NA</v>
      </c>
      <c r="S389" t="str">
        <f t="shared" si="38"/>
        <v>NA</v>
      </c>
      <c r="T389" t="str">
        <f t="shared" si="39"/>
        <v>NA</v>
      </c>
      <c r="U389">
        <f t="shared" si="42"/>
        <v>0</v>
      </c>
    </row>
    <row r="390" spans="1:21">
      <c r="A390">
        <v>387</v>
      </c>
      <c r="B390" s="1">
        <v>45229</v>
      </c>
      <c r="C390" t="s">
        <v>77</v>
      </c>
      <c r="D390" t="s">
        <v>78</v>
      </c>
      <c r="E390" t="s">
        <v>22</v>
      </c>
      <c r="F390" s="1">
        <v>45229</v>
      </c>
      <c r="G390" t="s">
        <v>77</v>
      </c>
      <c r="H390" t="s">
        <v>78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s="3">
        <f t="shared" si="43"/>
        <v>0</v>
      </c>
      <c r="Q390" t="str">
        <f t="shared" si="36"/>
        <v>NA</v>
      </c>
      <c r="R390" t="str">
        <f t="shared" si="37"/>
        <v>NA</v>
      </c>
      <c r="S390" t="str">
        <f t="shared" si="38"/>
        <v>NA</v>
      </c>
      <c r="T390" t="str">
        <f t="shared" si="39"/>
        <v>NA</v>
      </c>
      <c r="U390">
        <f t="shared" si="42"/>
        <v>0</v>
      </c>
    </row>
    <row r="391" spans="1:21">
      <c r="A391">
        <v>388</v>
      </c>
      <c r="B391" s="1">
        <v>45229</v>
      </c>
      <c r="C391" t="s">
        <v>79</v>
      </c>
      <c r="D391" t="s">
        <v>80</v>
      </c>
      <c r="E391">
        <v>0</v>
      </c>
      <c r="F391" s="1">
        <v>45229</v>
      </c>
      <c r="G391" t="s">
        <v>79</v>
      </c>
      <c r="H391" t="s">
        <v>80</v>
      </c>
      <c r="I391">
        <v>0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s="3">
        <f t="shared" si="43"/>
        <v>0</v>
      </c>
      <c r="Q391" t="str">
        <f t="shared" si="36"/>
        <v>NA</v>
      </c>
      <c r="R391" t="str">
        <f t="shared" si="37"/>
        <v>NA</v>
      </c>
      <c r="S391" t="str">
        <f t="shared" si="38"/>
        <v>NA</v>
      </c>
      <c r="T391" t="str">
        <f t="shared" si="39"/>
        <v>NA</v>
      </c>
      <c r="U391">
        <f t="shared" si="42"/>
        <v>0</v>
      </c>
    </row>
    <row r="392" spans="1:21">
      <c r="A392">
        <v>389</v>
      </c>
      <c r="B392" s="1">
        <v>45229</v>
      </c>
      <c r="C392" t="s">
        <v>90</v>
      </c>
      <c r="D392" t="s">
        <v>130</v>
      </c>
      <c r="E392" t="s">
        <v>15</v>
      </c>
      <c r="F392" s="1">
        <v>45229</v>
      </c>
      <c r="G392" t="s">
        <v>90</v>
      </c>
      <c r="H392" t="s">
        <v>130</v>
      </c>
      <c r="I392" t="s">
        <v>15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s="3">
        <f t="shared" si="43"/>
        <v>0</v>
      </c>
      <c r="Q392" t="str">
        <f t="shared" si="36"/>
        <v>NA</v>
      </c>
      <c r="R392" t="str">
        <f t="shared" si="37"/>
        <v>NA</v>
      </c>
      <c r="S392" t="str">
        <f t="shared" si="38"/>
        <v>NA</v>
      </c>
      <c r="T392" t="str">
        <f t="shared" si="39"/>
        <v>NA</v>
      </c>
      <c r="U392">
        <f t="shared" si="42"/>
        <v>0</v>
      </c>
    </row>
  </sheetData>
  <sortState xmlns:xlrd2="http://schemas.microsoft.com/office/spreadsheetml/2017/richdata2" ref="A4:U392">
    <sortCondition descending="1" ref="U4:U392"/>
    <sortCondition ref="Q4:Q392"/>
    <sortCondition ref="R4:R392"/>
    <sortCondition ref="S4:S392"/>
    <sortCondition ref="T4:T392"/>
  </sortState>
  <conditionalFormatting sqref="J4:O392 AF19:AK46">
    <cfRule type="notContainsText" dxfId="3" priority="27" operator="notContains" text="NA">
      <formula>ISERROR(SEARCH("NA",J4))</formula>
    </cfRule>
  </conditionalFormatting>
  <conditionalFormatting sqref="P4:P392">
    <cfRule type="colorScale" priority="25">
      <colorScale>
        <cfvo type="min"/>
        <cfvo type="max"/>
        <color theme="4" tint="0.79998168889431442"/>
        <color rgb="FF002060"/>
      </colorScale>
    </cfRule>
  </conditionalFormatting>
  <conditionalFormatting sqref="Q4:T392 AM19:AP46">
    <cfRule type="containsText" dxfId="2" priority="26" operator="containsText" text="1">
      <formula>NOT(ISERROR(SEARCH("1",Q4)))</formula>
    </cfRule>
  </conditionalFormatting>
  <conditionalFormatting sqref="AF50:AK65">
    <cfRule type="notContainsText" dxfId="1" priority="2" operator="notContains" text="NA">
      <formula>ISERROR(SEARCH("NA",AF50))</formula>
    </cfRule>
  </conditionalFormatting>
  <conditionalFormatting sqref="AL19:AL46">
    <cfRule type="colorScale" priority="95">
      <colorScale>
        <cfvo type="min"/>
        <cfvo type="max"/>
        <color theme="4" tint="0.79998168889431442"/>
        <color rgb="FF002060"/>
      </colorScale>
    </cfRule>
  </conditionalFormatting>
  <conditionalFormatting sqref="AL50:AL57">
    <cfRule type="colorScale" priority="12">
      <colorScale>
        <cfvo type="min"/>
        <cfvo type="max"/>
        <color theme="4" tint="0.79998168889431442"/>
        <color rgb="FF002060"/>
      </colorScale>
    </cfRule>
  </conditionalFormatting>
  <conditionalFormatting sqref="AL58">
    <cfRule type="colorScale" priority="9">
      <colorScale>
        <cfvo type="min"/>
        <cfvo type="max"/>
        <color theme="4" tint="0.79998168889431442"/>
        <color rgb="FF002060"/>
      </colorScale>
    </cfRule>
  </conditionalFormatting>
  <conditionalFormatting sqref="AL59:AL62">
    <cfRule type="colorScale" priority="6">
      <colorScale>
        <cfvo type="min"/>
        <cfvo type="max"/>
        <color theme="4" tint="0.79998168889431442"/>
        <color rgb="FF002060"/>
      </colorScale>
    </cfRule>
  </conditionalFormatting>
  <conditionalFormatting sqref="AL63:AL65">
    <cfRule type="colorScale" priority="3">
      <colorScale>
        <cfvo type="min"/>
        <cfvo type="max"/>
        <color theme="4" tint="0.79998168889431442"/>
        <color rgb="FF002060"/>
      </colorScale>
    </cfRule>
  </conditionalFormatting>
  <conditionalFormatting sqref="AM50:AP65">
    <cfRule type="containsText" dxfId="0" priority="1" operator="containsText" text="1">
      <formula>NOT(ISERROR(SEARCH("1",AM50)))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9404-2293-764E-AE35-62067A5526E5}">
  <dimension ref="B2:E448"/>
  <sheetViews>
    <sheetView zoomScale="130" zoomScaleNormal="130" workbookViewId="0">
      <selection activeCell="B2" sqref="B2"/>
    </sheetView>
  </sheetViews>
  <sheetFormatPr defaultColWidth="11" defaultRowHeight="15.95"/>
  <cols>
    <col min="2" max="2" width="30" bestFit="1" customWidth="1"/>
    <col min="3" max="3" width="16.5" bestFit="1" customWidth="1"/>
  </cols>
  <sheetData>
    <row r="2" spans="2:5">
      <c r="B2" s="2" t="s">
        <v>194</v>
      </c>
      <c r="C2" s="2" t="s">
        <v>195</v>
      </c>
    </row>
    <row r="3" spans="2:5">
      <c r="B3" t="s">
        <v>196</v>
      </c>
      <c r="C3" s="7" t="s">
        <v>14</v>
      </c>
    </row>
    <row r="4" spans="2:5">
      <c r="B4" t="s">
        <v>14</v>
      </c>
      <c r="C4" s="7" t="s">
        <v>17</v>
      </c>
    </row>
    <row r="5" spans="2:5">
      <c r="B5" t="s">
        <v>197</v>
      </c>
      <c r="C5" s="7" t="s">
        <v>17</v>
      </c>
    </row>
    <row r="6" spans="2:5">
      <c r="B6" t="s">
        <v>198</v>
      </c>
      <c r="C6" s="7" t="s">
        <v>17</v>
      </c>
    </row>
    <row r="7" spans="2:5">
      <c r="B7" t="s">
        <v>17</v>
      </c>
      <c r="C7" s="7" t="s">
        <v>17</v>
      </c>
    </row>
    <row r="8" spans="2:5">
      <c r="B8" t="s">
        <v>54</v>
      </c>
      <c r="C8" s="7" t="s">
        <v>54</v>
      </c>
      <c r="E8" s="7"/>
    </row>
    <row r="9" spans="2:5">
      <c r="B9" t="s">
        <v>199</v>
      </c>
      <c r="C9" s="7" t="s">
        <v>24</v>
      </c>
      <c r="E9" s="7"/>
    </row>
    <row r="10" spans="2:5">
      <c r="B10" t="s">
        <v>200</v>
      </c>
      <c r="C10" s="7" t="s">
        <v>24</v>
      </c>
      <c r="E10" s="7"/>
    </row>
    <row r="11" spans="2:5">
      <c r="B11" t="s">
        <v>201</v>
      </c>
      <c r="C11" s="7" t="s">
        <v>201</v>
      </c>
      <c r="E11" s="7"/>
    </row>
    <row r="12" spans="2:5">
      <c r="B12" t="s">
        <v>202</v>
      </c>
      <c r="C12" s="7" t="s">
        <v>24</v>
      </c>
      <c r="E12" s="7"/>
    </row>
    <row r="13" spans="2:5">
      <c r="B13" t="s">
        <v>203</v>
      </c>
      <c r="C13" s="7" t="s">
        <v>24</v>
      </c>
    </row>
    <row r="14" spans="2:5">
      <c r="B14" t="s">
        <v>204</v>
      </c>
      <c r="C14" s="7" t="s">
        <v>24</v>
      </c>
    </row>
    <row r="15" spans="2:5">
      <c r="B15" t="s">
        <v>205</v>
      </c>
      <c r="C15" s="7" t="s">
        <v>24</v>
      </c>
    </row>
    <row r="16" spans="2:5">
      <c r="B16" t="s">
        <v>206</v>
      </c>
      <c r="C16" s="7" t="s">
        <v>207</v>
      </c>
    </row>
    <row r="17" spans="2:3">
      <c r="B17" t="s">
        <v>207</v>
      </c>
      <c r="C17" s="7" t="s">
        <v>207</v>
      </c>
    </row>
    <row r="18" spans="2:3">
      <c r="B18" t="s">
        <v>208</v>
      </c>
      <c r="C18" s="7" t="s">
        <v>28</v>
      </c>
    </row>
    <row r="19" spans="2:3">
      <c r="B19" t="s">
        <v>28</v>
      </c>
      <c r="C19" s="7" t="s">
        <v>28</v>
      </c>
    </row>
    <row r="20" spans="2:3">
      <c r="B20" t="s">
        <v>30</v>
      </c>
      <c r="C20" s="7" t="s">
        <v>30</v>
      </c>
    </row>
    <row r="21" spans="2:3">
      <c r="B21" t="s">
        <v>209</v>
      </c>
      <c r="C21" s="7" t="s">
        <v>32</v>
      </c>
    </row>
    <row r="22" spans="2:3">
      <c r="B22" t="s">
        <v>210</v>
      </c>
      <c r="C22" s="7" t="s">
        <v>211</v>
      </c>
    </row>
    <row r="23" spans="2:3">
      <c r="B23" t="s">
        <v>212</v>
      </c>
      <c r="C23" s="7" t="s">
        <v>36</v>
      </c>
    </row>
    <row r="24" spans="2:3">
      <c r="B24" t="s">
        <v>36</v>
      </c>
      <c r="C24" s="7" t="s">
        <v>36</v>
      </c>
    </row>
    <row r="25" spans="2:3">
      <c r="B25" t="s">
        <v>213</v>
      </c>
      <c r="C25" s="7" t="s">
        <v>38</v>
      </c>
    </row>
    <row r="26" spans="2:3">
      <c r="B26" t="s">
        <v>214</v>
      </c>
      <c r="C26" s="7" t="s">
        <v>38</v>
      </c>
    </row>
    <row r="27" spans="2:3">
      <c r="B27" t="s">
        <v>215</v>
      </c>
      <c r="C27" s="7" t="s">
        <v>38</v>
      </c>
    </row>
    <row r="28" spans="2:3">
      <c r="B28" t="s">
        <v>38</v>
      </c>
      <c r="C28" s="7" t="s">
        <v>38</v>
      </c>
    </row>
    <row r="29" spans="2:3">
      <c r="B29" t="s">
        <v>216</v>
      </c>
      <c r="C29" s="7" t="s">
        <v>38</v>
      </c>
    </row>
    <row r="30" spans="2:3">
      <c r="B30" t="s">
        <v>217</v>
      </c>
      <c r="C30" t="s">
        <v>217</v>
      </c>
    </row>
    <row r="31" spans="2:3">
      <c r="B31" t="s">
        <v>218</v>
      </c>
      <c r="C31" s="7" t="s">
        <v>40</v>
      </c>
    </row>
    <row r="32" spans="2:3">
      <c r="B32" t="s">
        <v>40</v>
      </c>
      <c r="C32" s="7" t="s">
        <v>40</v>
      </c>
    </row>
    <row r="33" spans="2:3">
      <c r="B33" t="s">
        <v>219</v>
      </c>
      <c r="C33" s="7" t="s">
        <v>40</v>
      </c>
    </row>
    <row r="34" spans="2:3">
      <c r="B34" t="s">
        <v>42</v>
      </c>
      <c r="C34" s="7" t="s">
        <v>42</v>
      </c>
    </row>
    <row r="35" spans="2:3">
      <c r="B35" t="s">
        <v>220</v>
      </c>
      <c r="C35" s="7" t="s">
        <v>42</v>
      </c>
    </row>
    <row r="36" spans="2:3">
      <c r="B36" t="s">
        <v>221</v>
      </c>
      <c r="C36" s="7" t="s">
        <v>44</v>
      </c>
    </row>
    <row r="37" spans="2:3">
      <c r="B37" t="s">
        <v>222</v>
      </c>
      <c r="C37" s="7" t="s">
        <v>44</v>
      </c>
    </row>
    <row r="38" spans="2:3">
      <c r="B38" t="s">
        <v>223</v>
      </c>
      <c r="C38" s="7" t="s">
        <v>44</v>
      </c>
    </row>
    <row r="39" spans="2:3">
      <c r="B39" t="s">
        <v>224</v>
      </c>
      <c r="C39" s="7" t="s">
        <v>44</v>
      </c>
    </row>
    <row r="40" spans="2:3">
      <c r="B40" t="s">
        <v>225</v>
      </c>
      <c r="C40" s="7" t="s">
        <v>44</v>
      </c>
    </row>
    <row r="41" spans="2:3">
      <c r="B41" t="s">
        <v>226</v>
      </c>
      <c r="C41" s="7" t="s">
        <v>46</v>
      </c>
    </row>
    <row r="42" spans="2:3">
      <c r="B42" t="s">
        <v>227</v>
      </c>
      <c r="C42" s="7" t="s">
        <v>46</v>
      </c>
    </row>
    <row r="43" spans="2:3">
      <c r="B43" t="s">
        <v>228</v>
      </c>
      <c r="C43" s="7" t="s">
        <v>46</v>
      </c>
    </row>
    <row r="44" spans="2:3">
      <c r="B44" t="s">
        <v>229</v>
      </c>
      <c r="C44" s="7" t="s">
        <v>46</v>
      </c>
    </row>
    <row r="45" spans="2:3">
      <c r="B45" t="s">
        <v>46</v>
      </c>
      <c r="C45" s="7" t="s">
        <v>46</v>
      </c>
    </row>
    <row r="46" spans="2:3">
      <c r="B46" t="s">
        <v>230</v>
      </c>
      <c r="C46" s="7" t="s">
        <v>46</v>
      </c>
    </row>
    <row r="47" spans="2:3">
      <c r="B47" t="s">
        <v>231</v>
      </c>
      <c r="C47" s="7" t="s">
        <v>49</v>
      </c>
    </row>
    <row r="48" spans="2:3">
      <c r="B48" t="s">
        <v>232</v>
      </c>
      <c r="C48" s="7" t="s">
        <v>49</v>
      </c>
    </row>
    <row r="49" spans="2:3">
      <c r="B49" t="s">
        <v>233</v>
      </c>
      <c r="C49" s="7" t="s">
        <v>51</v>
      </c>
    </row>
    <row r="50" spans="2:3">
      <c r="B50" t="s">
        <v>51</v>
      </c>
      <c r="C50" s="7" t="s">
        <v>51</v>
      </c>
    </row>
    <row r="51" spans="2:3">
      <c r="B51" t="s">
        <v>234</v>
      </c>
      <c r="C51" s="7" t="s">
        <v>54</v>
      </c>
    </row>
    <row r="52" spans="2:3">
      <c r="B52" t="s">
        <v>235</v>
      </c>
      <c r="C52" s="7" t="s">
        <v>54</v>
      </c>
    </row>
    <row r="53" spans="2:3">
      <c r="B53" t="s">
        <v>236</v>
      </c>
      <c r="C53" s="7" t="s">
        <v>130</v>
      </c>
    </row>
    <row r="54" spans="2:3">
      <c r="B54" t="s">
        <v>237</v>
      </c>
      <c r="C54" s="7" t="s">
        <v>57</v>
      </c>
    </row>
    <row r="55" spans="2:3">
      <c r="B55" t="s">
        <v>238</v>
      </c>
      <c r="C55" s="7" t="s">
        <v>60</v>
      </c>
    </row>
    <row r="56" spans="2:3">
      <c r="B56" t="s">
        <v>239</v>
      </c>
      <c r="C56" s="7" t="s">
        <v>60</v>
      </c>
    </row>
    <row r="57" spans="2:3">
      <c r="B57" t="s">
        <v>240</v>
      </c>
      <c r="C57" s="7" t="s">
        <v>211</v>
      </c>
    </row>
    <row r="58" spans="2:3">
      <c r="B58" t="s">
        <v>57</v>
      </c>
      <c r="C58" s="7" t="s">
        <v>57</v>
      </c>
    </row>
    <row r="59" spans="2:3">
      <c r="B59" t="s">
        <v>241</v>
      </c>
      <c r="C59" s="7" t="s">
        <v>62</v>
      </c>
    </row>
    <row r="60" spans="2:3">
      <c r="B60" t="s">
        <v>242</v>
      </c>
      <c r="C60" s="7" t="s">
        <v>62</v>
      </c>
    </row>
    <row r="61" spans="2:3">
      <c r="B61" t="s">
        <v>62</v>
      </c>
      <c r="C61" s="7" t="s">
        <v>62</v>
      </c>
    </row>
    <row r="62" spans="2:3">
      <c r="B62" t="s">
        <v>243</v>
      </c>
      <c r="C62" s="7" t="s">
        <v>64</v>
      </c>
    </row>
    <row r="63" spans="2:3">
      <c r="B63" t="s">
        <v>244</v>
      </c>
      <c r="C63" s="7" t="s">
        <v>64</v>
      </c>
    </row>
    <row r="64" spans="2:3">
      <c r="B64" t="s">
        <v>245</v>
      </c>
      <c r="C64" s="7" t="s">
        <v>67</v>
      </c>
    </row>
    <row r="65" spans="2:3">
      <c r="B65" t="s">
        <v>67</v>
      </c>
      <c r="C65" t="s">
        <v>67</v>
      </c>
    </row>
    <row r="66" spans="2:3">
      <c r="B66" t="s">
        <v>246</v>
      </c>
      <c r="C66" s="7" t="s">
        <v>69</v>
      </c>
    </row>
    <row r="67" spans="2:3">
      <c r="B67" t="s">
        <v>69</v>
      </c>
      <c r="C67" s="7" t="s">
        <v>69</v>
      </c>
    </row>
    <row r="68" spans="2:3">
      <c r="B68" t="s">
        <v>247</v>
      </c>
      <c r="C68" s="7" t="s">
        <v>69</v>
      </c>
    </row>
    <row r="69" spans="2:3">
      <c r="B69" t="s">
        <v>248</v>
      </c>
      <c r="C69" s="7" t="s">
        <v>249</v>
      </c>
    </row>
    <row r="70" spans="2:3">
      <c r="B70" t="s">
        <v>250</v>
      </c>
      <c r="C70" s="7" t="s">
        <v>71</v>
      </c>
    </row>
    <row r="71" spans="2:3">
      <c r="B71" t="s">
        <v>251</v>
      </c>
      <c r="C71" s="7" t="s">
        <v>73</v>
      </c>
    </row>
    <row r="72" spans="2:3">
      <c r="B72" t="s">
        <v>252</v>
      </c>
      <c r="C72" s="7" t="s">
        <v>73</v>
      </c>
    </row>
    <row r="73" spans="2:3">
      <c r="B73" t="s">
        <v>253</v>
      </c>
      <c r="C73" s="7" t="s">
        <v>73</v>
      </c>
    </row>
    <row r="74" spans="2:3">
      <c r="B74" t="s">
        <v>254</v>
      </c>
      <c r="C74" s="7" t="s">
        <v>73</v>
      </c>
    </row>
    <row r="75" spans="2:3">
      <c r="B75" t="s">
        <v>255</v>
      </c>
      <c r="C75" s="7" t="s">
        <v>255</v>
      </c>
    </row>
    <row r="76" spans="2:3">
      <c r="B76" t="s">
        <v>256</v>
      </c>
      <c r="C76" s="7" t="s">
        <v>71</v>
      </c>
    </row>
    <row r="77" spans="2:3">
      <c r="B77" t="s">
        <v>257</v>
      </c>
      <c r="C77" s="7" t="s">
        <v>73</v>
      </c>
    </row>
    <row r="78" spans="2:3">
      <c r="B78" t="s">
        <v>258</v>
      </c>
      <c r="C78" s="7" t="s">
        <v>60</v>
      </c>
    </row>
    <row r="79" spans="2:3">
      <c r="B79" t="s">
        <v>259</v>
      </c>
      <c r="C79" s="7" t="s">
        <v>60</v>
      </c>
    </row>
    <row r="80" spans="2:3">
      <c r="B80" t="s">
        <v>260</v>
      </c>
      <c r="C80" s="7" t="s">
        <v>60</v>
      </c>
    </row>
    <row r="81" spans="2:3">
      <c r="B81" t="s">
        <v>261</v>
      </c>
      <c r="C81" s="7" t="s">
        <v>75</v>
      </c>
    </row>
    <row r="82" spans="2:3">
      <c r="B82" t="s">
        <v>75</v>
      </c>
      <c r="C82" s="7" t="s">
        <v>75</v>
      </c>
    </row>
    <row r="83" spans="2:3">
      <c r="B83" t="s">
        <v>78</v>
      </c>
      <c r="C83" s="7" t="s">
        <v>78</v>
      </c>
    </row>
    <row r="84" spans="2:3">
      <c r="B84" t="s">
        <v>262</v>
      </c>
      <c r="C84" t="s">
        <v>262</v>
      </c>
    </row>
    <row r="85" spans="2:3">
      <c r="B85" t="s">
        <v>263</v>
      </c>
      <c r="C85" s="7" t="s">
        <v>80</v>
      </c>
    </row>
    <row r="86" spans="2:3">
      <c r="B86" t="s">
        <v>80</v>
      </c>
      <c r="C86" s="7" t="s">
        <v>80</v>
      </c>
    </row>
    <row r="87" spans="2:3">
      <c r="B87" t="s">
        <v>82</v>
      </c>
      <c r="C87" s="7" t="s">
        <v>82</v>
      </c>
    </row>
    <row r="88" spans="2:3">
      <c r="B88" t="s">
        <v>264</v>
      </c>
      <c r="C88" t="s">
        <v>28</v>
      </c>
    </row>
    <row r="89" spans="2:3">
      <c r="B89" t="s">
        <v>265</v>
      </c>
      <c r="C89" s="7" t="s">
        <v>266</v>
      </c>
    </row>
    <row r="90" spans="2:3">
      <c r="B90" t="s">
        <v>267</v>
      </c>
      <c r="C90" s="7" t="s">
        <v>34</v>
      </c>
    </row>
    <row r="91" spans="2:3">
      <c r="B91" t="s">
        <v>211</v>
      </c>
      <c r="C91" s="7" t="s">
        <v>34</v>
      </c>
    </row>
    <row r="92" spans="2:3">
      <c r="C92" s="7"/>
    </row>
    <row r="93" spans="2:3">
      <c r="C93" s="7"/>
    </row>
    <row r="94" spans="2:3">
      <c r="C94" s="7"/>
    </row>
    <row r="95" spans="2:3">
      <c r="C95" s="7"/>
    </row>
    <row r="96" spans="2:3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  <row r="151" spans="3:3">
      <c r="C151" s="7"/>
    </row>
    <row r="152" spans="3:3">
      <c r="C152" s="7"/>
    </row>
    <row r="153" spans="3:3">
      <c r="C153" s="7"/>
    </row>
    <row r="154" spans="3:3">
      <c r="C154" s="7"/>
    </row>
    <row r="155" spans="3:3">
      <c r="C155" s="7"/>
    </row>
    <row r="156" spans="3:3">
      <c r="C156" s="7"/>
    </row>
    <row r="157" spans="3:3">
      <c r="C157" s="7"/>
    </row>
    <row r="158" spans="3:3">
      <c r="C158" s="7"/>
    </row>
    <row r="159" spans="3:3">
      <c r="C159" s="7"/>
    </row>
    <row r="160" spans="3:3">
      <c r="C160" s="7"/>
    </row>
    <row r="161" spans="3:3">
      <c r="C161" s="7"/>
    </row>
    <row r="162" spans="3:3">
      <c r="C162" s="7"/>
    </row>
    <row r="163" spans="3:3">
      <c r="C163" s="7"/>
    </row>
    <row r="164" spans="3:3">
      <c r="C164" s="7"/>
    </row>
    <row r="165" spans="3:3">
      <c r="C165" s="7"/>
    </row>
    <row r="166" spans="3:3">
      <c r="C166" s="7"/>
    </row>
    <row r="167" spans="3:3">
      <c r="C167" s="7"/>
    </row>
    <row r="168" spans="3:3">
      <c r="C168" s="7"/>
    </row>
    <row r="169" spans="3:3">
      <c r="C169" s="7"/>
    </row>
    <row r="170" spans="3:3">
      <c r="C170" s="7"/>
    </row>
    <row r="171" spans="3:3">
      <c r="C171" s="7"/>
    </row>
    <row r="172" spans="3:3">
      <c r="C172" s="7"/>
    </row>
    <row r="173" spans="3:3">
      <c r="C173" s="7"/>
    </row>
    <row r="174" spans="3:3">
      <c r="C174" s="7"/>
    </row>
    <row r="175" spans="3:3">
      <c r="C175" s="7"/>
    </row>
    <row r="176" spans="3:3">
      <c r="C176" s="7"/>
    </row>
    <row r="177" spans="3:3">
      <c r="C177" s="7"/>
    </row>
    <row r="178" spans="3:3">
      <c r="C178" s="7"/>
    </row>
    <row r="179" spans="3:3">
      <c r="C179" s="7"/>
    </row>
    <row r="180" spans="3:3">
      <c r="C180" s="7"/>
    </row>
    <row r="181" spans="3:3">
      <c r="C181" s="7"/>
    </row>
    <row r="182" spans="3:3">
      <c r="C182" s="7"/>
    </row>
    <row r="183" spans="3:3">
      <c r="C183" s="7"/>
    </row>
    <row r="184" spans="3:3">
      <c r="C184" s="7"/>
    </row>
    <row r="185" spans="3:3">
      <c r="C185" s="7"/>
    </row>
    <row r="186" spans="3:3">
      <c r="C186" s="7"/>
    </row>
    <row r="187" spans="3:3">
      <c r="C187" s="7"/>
    </row>
    <row r="188" spans="3:3">
      <c r="C188" s="7"/>
    </row>
    <row r="189" spans="3:3">
      <c r="C189" s="7"/>
    </row>
    <row r="190" spans="3:3">
      <c r="C190" s="7"/>
    </row>
    <row r="191" spans="3:3">
      <c r="C191" s="7"/>
    </row>
    <row r="192" spans="3:3">
      <c r="C192" s="7"/>
    </row>
    <row r="193" spans="3:3">
      <c r="C193" s="7"/>
    </row>
    <row r="194" spans="3:3">
      <c r="C194" s="7"/>
    </row>
    <row r="195" spans="3:3">
      <c r="C195" s="7"/>
    </row>
    <row r="196" spans="3:3">
      <c r="C196" s="7"/>
    </row>
    <row r="197" spans="3:3">
      <c r="C197" s="7"/>
    </row>
    <row r="198" spans="3:3">
      <c r="C198" s="7"/>
    </row>
    <row r="199" spans="3:3">
      <c r="C199" s="7"/>
    </row>
    <row r="200" spans="3:3">
      <c r="C200" s="7"/>
    </row>
    <row r="201" spans="3:3">
      <c r="C201" s="7"/>
    </row>
    <row r="202" spans="3:3">
      <c r="C202" s="7"/>
    </row>
    <row r="203" spans="3:3">
      <c r="C203" s="7"/>
    </row>
    <row r="204" spans="3:3">
      <c r="C204" s="7"/>
    </row>
    <row r="205" spans="3:3">
      <c r="C205" s="7"/>
    </row>
    <row r="206" spans="3:3">
      <c r="C206" s="7"/>
    </row>
    <row r="207" spans="3:3">
      <c r="C207" s="7"/>
    </row>
    <row r="208" spans="3:3">
      <c r="C208" s="7"/>
    </row>
    <row r="209" spans="3:3">
      <c r="C209" s="7"/>
    </row>
    <row r="210" spans="3:3">
      <c r="C210" s="7"/>
    </row>
    <row r="211" spans="3:3">
      <c r="C211" s="7"/>
    </row>
    <row r="212" spans="3:3">
      <c r="C212" s="7"/>
    </row>
    <row r="213" spans="3:3">
      <c r="C213" s="7"/>
    </row>
    <row r="214" spans="3:3">
      <c r="C214" s="7"/>
    </row>
    <row r="215" spans="3:3">
      <c r="C215" s="7"/>
    </row>
    <row r="216" spans="3:3">
      <c r="C216" s="7"/>
    </row>
    <row r="217" spans="3:3">
      <c r="C217" s="7"/>
    </row>
    <row r="218" spans="3:3">
      <c r="C218" s="7"/>
    </row>
    <row r="219" spans="3:3">
      <c r="C219" s="7"/>
    </row>
    <row r="220" spans="3:3">
      <c r="C220" s="7"/>
    </row>
    <row r="221" spans="3:3">
      <c r="C221" s="7"/>
    </row>
    <row r="222" spans="3:3">
      <c r="C222" s="7"/>
    </row>
    <row r="223" spans="3:3">
      <c r="C223" s="7"/>
    </row>
    <row r="224" spans="3:3">
      <c r="C224" s="7"/>
    </row>
    <row r="225" spans="3:3">
      <c r="C225" s="7"/>
    </row>
    <row r="226" spans="3:3">
      <c r="C226" s="7"/>
    </row>
    <row r="227" spans="3:3">
      <c r="C227" s="7"/>
    </row>
    <row r="228" spans="3:3">
      <c r="C228" s="7"/>
    </row>
    <row r="229" spans="3:3">
      <c r="C229" s="7"/>
    </row>
    <row r="230" spans="3:3">
      <c r="C230" s="7"/>
    </row>
    <row r="231" spans="3:3">
      <c r="C231" s="7"/>
    </row>
    <row r="232" spans="3:3">
      <c r="C232" s="7"/>
    </row>
    <row r="233" spans="3:3">
      <c r="C233" s="7"/>
    </row>
    <row r="234" spans="3:3">
      <c r="C234" s="7"/>
    </row>
    <row r="235" spans="3:3">
      <c r="C235" s="7"/>
    </row>
    <row r="236" spans="3:3">
      <c r="C236" s="7"/>
    </row>
    <row r="237" spans="3:3">
      <c r="C237" s="7"/>
    </row>
    <row r="238" spans="3:3">
      <c r="C238" s="7"/>
    </row>
    <row r="239" spans="3:3">
      <c r="C239" s="7"/>
    </row>
    <row r="240" spans="3:3">
      <c r="C240" s="7"/>
    </row>
    <row r="241" spans="3:3">
      <c r="C241" s="7"/>
    </row>
    <row r="242" spans="3:3">
      <c r="C242" s="7"/>
    </row>
    <row r="243" spans="3:3">
      <c r="C243" s="7"/>
    </row>
    <row r="244" spans="3:3">
      <c r="C244" s="7"/>
    </row>
    <row r="245" spans="3:3">
      <c r="C245" s="7"/>
    </row>
    <row r="246" spans="3:3">
      <c r="C246" s="7"/>
    </row>
    <row r="247" spans="3:3">
      <c r="C247" s="7"/>
    </row>
    <row r="248" spans="3:3">
      <c r="C248" s="7"/>
    </row>
    <row r="249" spans="3:3">
      <c r="C249" s="7"/>
    </row>
    <row r="250" spans="3:3">
      <c r="C250" s="7"/>
    </row>
    <row r="251" spans="3:3">
      <c r="C251" s="7"/>
    </row>
    <row r="252" spans="3:3">
      <c r="C252" s="7"/>
    </row>
    <row r="253" spans="3:3">
      <c r="C253" s="7"/>
    </row>
    <row r="254" spans="3:3">
      <c r="C254" s="7"/>
    </row>
    <row r="255" spans="3:3">
      <c r="C255" s="7"/>
    </row>
    <row r="256" spans="3:3">
      <c r="C256" s="7"/>
    </row>
    <row r="257" spans="3:3">
      <c r="C257" s="7"/>
    </row>
    <row r="258" spans="3:3">
      <c r="C258" s="7"/>
    </row>
    <row r="259" spans="3:3">
      <c r="C259" s="7"/>
    </row>
    <row r="260" spans="3:3">
      <c r="C260" s="7"/>
    </row>
    <row r="261" spans="3:3">
      <c r="C261" s="7"/>
    </row>
    <row r="262" spans="3:3">
      <c r="C262" s="7"/>
    </row>
    <row r="263" spans="3:3">
      <c r="C263" s="7"/>
    </row>
    <row r="264" spans="3:3">
      <c r="C264" s="7"/>
    </row>
    <row r="265" spans="3:3">
      <c r="C265" s="7"/>
    </row>
    <row r="266" spans="3:3">
      <c r="C266" s="7"/>
    </row>
    <row r="267" spans="3:3">
      <c r="C267" s="7"/>
    </row>
    <row r="268" spans="3:3">
      <c r="C268" s="7"/>
    </row>
    <row r="269" spans="3:3">
      <c r="C269" s="7"/>
    </row>
    <row r="270" spans="3:3">
      <c r="C270" s="7"/>
    </row>
    <row r="271" spans="3:3">
      <c r="C271" s="7"/>
    </row>
    <row r="272" spans="3:3">
      <c r="C272" s="7"/>
    </row>
    <row r="273" spans="3:3">
      <c r="C273" s="7"/>
    </row>
    <row r="274" spans="3:3">
      <c r="C274" s="7"/>
    </row>
    <row r="275" spans="3:3">
      <c r="C275" s="7"/>
    </row>
    <row r="276" spans="3:3">
      <c r="C276" s="7"/>
    </row>
    <row r="277" spans="3:3">
      <c r="C277" s="7"/>
    </row>
    <row r="278" spans="3:3">
      <c r="C278" s="7"/>
    </row>
    <row r="279" spans="3:3">
      <c r="C279" s="7"/>
    </row>
    <row r="280" spans="3:3">
      <c r="C280" s="7"/>
    </row>
    <row r="281" spans="3:3">
      <c r="C281" s="7"/>
    </row>
    <row r="282" spans="3:3">
      <c r="C282" s="7"/>
    </row>
    <row r="283" spans="3:3">
      <c r="C283" s="7"/>
    </row>
    <row r="284" spans="3:3">
      <c r="C284" s="7"/>
    </row>
    <row r="285" spans="3:3">
      <c r="C285" s="7"/>
    </row>
    <row r="286" spans="3:3">
      <c r="C286" s="7"/>
    </row>
    <row r="287" spans="3:3">
      <c r="C287" s="7"/>
    </row>
    <row r="288" spans="3:3">
      <c r="C288" s="7"/>
    </row>
    <row r="289" spans="3:3">
      <c r="C289" s="7"/>
    </row>
    <row r="290" spans="3:3">
      <c r="C290" s="7"/>
    </row>
    <row r="291" spans="3:3">
      <c r="C291" s="7"/>
    </row>
    <row r="292" spans="3:3">
      <c r="C292" s="7"/>
    </row>
    <row r="293" spans="3:3">
      <c r="C293" s="7"/>
    </row>
    <row r="294" spans="3:3">
      <c r="C294" s="7"/>
    </row>
    <row r="295" spans="3:3">
      <c r="C295" s="7"/>
    </row>
    <row r="296" spans="3:3">
      <c r="C296" s="7"/>
    </row>
    <row r="297" spans="3:3">
      <c r="C297" s="7"/>
    </row>
    <row r="298" spans="3:3">
      <c r="C298" s="7"/>
    </row>
    <row r="299" spans="3:3">
      <c r="C299" s="7"/>
    </row>
    <row r="300" spans="3:3">
      <c r="C300" s="7"/>
    </row>
    <row r="301" spans="3:3">
      <c r="C301" s="7"/>
    </row>
    <row r="302" spans="3:3">
      <c r="C302" s="7"/>
    </row>
    <row r="303" spans="3:3">
      <c r="C303" s="7"/>
    </row>
    <row r="304" spans="3:3">
      <c r="C304" s="7"/>
    </row>
    <row r="305" spans="3:3">
      <c r="C305" s="7"/>
    </row>
    <row r="306" spans="3:3">
      <c r="C306" s="7"/>
    </row>
    <row r="307" spans="3:3">
      <c r="C307" s="7"/>
    </row>
    <row r="308" spans="3:3">
      <c r="C308" s="7"/>
    </row>
    <row r="309" spans="3:3">
      <c r="C309" s="7"/>
    </row>
    <row r="310" spans="3:3">
      <c r="C310" s="7"/>
    </row>
    <row r="311" spans="3:3">
      <c r="C311" s="7"/>
    </row>
    <row r="312" spans="3:3">
      <c r="C312" s="7"/>
    </row>
    <row r="313" spans="3:3">
      <c r="C313" s="7"/>
    </row>
    <row r="314" spans="3:3">
      <c r="C314" s="7"/>
    </row>
    <row r="315" spans="3:3">
      <c r="C315" s="7"/>
    </row>
    <row r="316" spans="3:3">
      <c r="C316" s="7"/>
    </row>
    <row r="317" spans="3:3">
      <c r="C317" s="7"/>
    </row>
    <row r="318" spans="3:3">
      <c r="C318" s="7"/>
    </row>
    <row r="319" spans="3:3">
      <c r="C319" s="7"/>
    </row>
    <row r="320" spans="3:3">
      <c r="C320" s="7"/>
    </row>
    <row r="321" spans="3:3">
      <c r="C321" s="7"/>
    </row>
    <row r="322" spans="3:3">
      <c r="C322" s="7"/>
    </row>
    <row r="323" spans="3:3">
      <c r="C323" s="7"/>
    </row>
    <row r="324" spans="3:3">
      <c r="C324" s="7"/>
    </row>
    <row r="325" spans="3:3">
      <c r="C325" s="7"/>
    </row>
    <row r="326" spans="3:3">
      <c r="C326" s="7"/>
    </row>
    <row r="327" spans="3:3">
      <c r="C327" s="7"/>
    </row>
    <row r="328" spans="3:3">
      <c r="C328" s="7"/>
    </row>
    <row r="329" spans="3:3">
      <c r="C329" s="7"/>
    </row>
    <row r="330" spans="3:3">
      <c r="C330" s="7"/>
    </row>
    <row r="331" spans="3:3">
      <c r="C331" s="7"/>
    </row>
    <row r="332" spans="3:3">
      <c r="C332" s="7"/>
    </row>
    <row r="333" spans="3:3">
      <c r="C333" s="7"/>
    </row>
    <row r="334" spans="3:3">
      <c r="C334" s="7"/>
    </row>
    <row r="335" spans="3:3">
      <c r="C335" s="7"/>
    </row>
    <row r="336" spans="3:3">
      <c r="C336" s="7"/>
    </row>
    <row r="337" spans="3:3">
      <c r="C337" s="7"/>
    </row>
    <row r="338" spans="3:3">
      <c r="C338" s="7"/>
    </row>
    <row r="339" spans="3:3">
      <c r="C339" s="7"/>
    </row>
    <row r="340" spans="3:3">
      <c r="C340" s="7"/>
    </row>
    <row r="341" spans="3:3">
      <c r="C341" s="7"/>
    </row>
    <row r="342" spans="3:3">
      <c r="C342" s="7"/>
    </row>
    <row r="343" spans="3:3">
      <c r="C343" s="7"/>
    </row>
    <row r="344" spans="3:3">
      <c r="C344" s="7"/>
    </row>
    <row r="345" spans="3:3">
      <c r="C345" s="7"/>
    </row>
    <row r="346" spans="3:3">
      <c r="C346" s="7"/>
    </row>
    <row r="347" spans="3:3">
      <c r="C347" s="7"/>
    </row>
    <row r="348" spans="3:3">
      <c r="C348" s="7"/>
    </row>
    <row r="349" spans="3:3">
      <c r="C349" s="7"/>
    </row>
    <row r="350" spans="3:3">
      <c r="C350" s="7"/>
    </row>
    <row r="351" spans="3:3">
      <c r="C351" s="7"/>
    </row>
    <row r="352" spans="3:3">
      <c r="C352" s="7"/>
    </row>
    <row r="353" spans="3:3">
      <c r="C353" s="7"/>
    </row>
    <row r="354" spans="3:3">
      <c r="C354" s="7"/>
    </row>
    <row r="355" spans="3:3">
      <c r="C355" s="7"/>
    </row>
    <row r="356" spans="3:3">
      <c r="C356" s="7"/>
    </row>
    <row r="357" spans="3:3">
      <c r="C357" s="7"/>
    </row>
    <row r="358" spans="3:3">
      <c r="C358" s="7"/>
    </row>
    <row r="359" spans="3:3">
      <c r="C359" s="7"/>
    </row>
    <row r="360" spans="3:3">
      <c r="C360" s="7"/>
    </row>
    <row r="361" spans="3:3">
      <c r="C361" s="7"/>
    </row>
    <row r="362" spans="3:3">
      <c r="C362" s="7"/>
    </row>
    <row r="363" spans="3:3">
      <c r="C363" s="7"/>
    </row>
    <row r="364" spans="3:3">
      <c r="C364" s="7"/>
    </row>
    <row r="365" spans="3:3">
      <c r="C365" s="7"/>
    </row>
    <row r="366" spans="3:3">
      <c r="C366" s="7"/>
    </row>
    <row r="367" spans="3:3">
      <c r="C367" s="7"/>
    </row>
    <row r="368" spans="3:3">
      <c r="C368" s="7"/>
    </row>
    <row r="369" spans="3:3">
      <c r="C369" s="7"/>
    </row>
    <row r="370" spans="3:3">
      <c r="C370" s="7"/>
    </row>
    <row r="371" spans="3:3">
      <c r="C371" s="7"/>
    </row>
    <row r="372" spans="3:3">
      <c r="C372" s="7"/>
    </row>
    <row r="373" spans="3:3">
      <c r="C373" s="7"/>
    </row>
    <row r="374" spans="3:3">
      <c r="C374" s="7"/>
    </row>
    <row r="375" spans="3:3">
      <c r="C375" s="7"/>
    </row>
    <row r="376" spans="3:3">
      <c r="C376" s="7"/>
    </row>
    <row r="377" spans="3:3">
      <c r="C377" s="7"/>
    </row>
    <row r="378" spans="3:3">
      <c r="C378" s="7"/>
    </row>
    <row r="379" spans="3:3">
      <c r="C379" s="7"/>
    </row>
    <row r="380" spans="3:3">
      <c r="C380" s="7"/>
    </row>
    <row r="381" spans="3:3">
      <c r="C381" s="7"/>
    </row>
    <row r="382" spans="3:3">
      <c r="C382" s="7"/>
    </row>
    <row r="383" spans="3:3">
      <c r="C383" s="7"/>
    </row>
    <row r="384" spans="3:3">
      <c r="C384" s="7"/>
    </row>
    <row r="385" spans="3:3">
      <c r="C385" s="7"/>
    </row>
    <row r="386" spans="3:3">
      <c r="C386" s="7"/>
    </row>
    <row r="387" spans="3:3">
      <c r="C387" s="7"/>
    </row>
    <row r="388" spans="3:3">
      <c r="C388" s="7"/>
    </row>
    <row r="389" spans="3:3">
      <c r="C389" s="7"/>
    </row>
    <row r="390" spans="3:3">
      <c r="C390" s="7"/>
    </row>
    <row r="391" spans="3:3">
      <c r="C391" s="7"/>
    </row>
    <row r="392" spans="3:3">
      <c r="C392" s="7"/>
    </row>
    <row r="393" spans="3:3">
      <c r="C393" s="7"/>
    </row>
    <row r="394" spans="3:3">
      <c r="C394" s="7"/>
    </row>
    <row r="395" spans="3:3">
      <c r="C395" s="7"/>
    </row>
    <row r="396" spans="3:3">
      <c r="C396" s="7"/>
    </row>
    <row r="397" spans="3:3">
      <c r="C397" s="7"/>
    </row>
    <row r="398" spans="3:3">
      <c r="C398" s="7"/>
    </row>
    <row r="399" spans="3:3">
      <c r="C399" s="7"/>
    </row>
    <row r="400" spans="3:3">
      <c r="C400" s="7"/>
    </row>
    <row r="401" spans="3:3">
      <c r="C401" s="7"/>
    </row>
    <row r="402" spans="3:3">
      <c r="C402" s="7"/>
    </row>
    <row r="403" spans="3:3">
      <c r="C403" s="7"/>
    </row>
    <row r="404" spans="3:3">
      <c r="C404" s="7"/>
    </row>
    <row r="405" spans="3:3">
      <c r="C405" s="7"/>
    </row>
    <row r="406" spans="3:3">
      <c r="C406" s="7"/>
    </row>
    <row r="407" spans="3:3">
      <c r="C407" s="7"/>
    </row>
    <row r="408" spans="3:3">
      <c r="C408" s="7"/>
    </row>
    <row r="409" spans="3:3">
      <c r="C409" s="7"/>
    </row>
    <row r="410" spans="3:3">
      <c r="C410" s="7"/>
    </row>
    <row r="411" spans="3:3">
      <c r="C411" s="7"/>
    </row>
    <row r="412" spans="3:3">
      <c r="C412" s="7"/>
    </row>
    <row r="413" spans="3:3">
      <c r="C413" s="7"/>
    </row>
    <row r="414" spans="3:3">
      <c r="C414" s="7"/>
    </row>
    <row r="415" spans="3:3">
      <c r="C415" s="7"/>
    </row>
    <row r="416" spans="3:3">
      <c r="C416" s="7"/>
    </row>
    <row r="417" spans="3:3">
      <c r="C417" s="7"/>
    </row>
    <row r="418" spans="3:3">
      <c r="C418" s="7"/>
    </row>
    <row r="419" spans="3:3">
      <c r="C419" s="7"/>
    </row>
    <row r="420" spans="3:3">
      <c r="C420" s="7"/>
    </row>
    <row r="421" spans="3:3">
      <c r="C421" s="7"/>
    </row>
    <row r="422" spans="3:3">
      <c r="C422" s="7"/>
    </row>
    <row r="423" spans="3:3">
      <c r="C423" s="7"/>
    </row>
    <row r="424" spans="3:3">
      <c r="C424" s="7"/>
    </row>
    <row r="425" spans="3:3">
      <c r="C425" s="7"/>
    </row>
    <row r="426" spans="3:3">
      <c r="C426" s="7"/>
    </row>
    <row r="427" spans="3:3">
      <c r="C427" s="7"/>
    </row>
    <row r="428" spans="3:3">
      <c r="C428" s="7"/>
    </row>
    <row r="429" spans="3:3">
      <c r="C429" s="7"/>
    </row>
    <row r="430" spans="3:3">
      <c r="C430" s="7"/>
    </row>
    <row r="431" spans="3:3">
      <c r="C431" s="7"/>
    </row>
    <row r="432" spans="3:3">
      <c r="C432" s="7"/>
    </row>
    <row r="433" spans="3:3">
      <c r="C433" s="7"/>
    </row>
    <row r="434" spans="3:3">
      <c r="C434" s="7"/>
    </row>
    <row r="435" spans="3:3">
      <c r="C435" s="7"/>
    </row>
    <row r="436" spans="3:3">
      <c r="C436" s="7"/>
    </row>
    <row r="437" spans="3:3">
      <c r="C437" s="7"/>
    </row>
    <row r="438" spans="3:3">
      <c r="C438" s="7"/>
    </row>
    <row r="439" spans="3:3">
      <c r="C439" s="7"/>
    </row>
    <row r="440" spans="3:3">
      <c r="C440" s="7"/>
    </row>
    <row r="441" spans="3:3">
      <c r="C441" s="7"/>
    </row>
    <row r="442" spans="3:3">
      <c r="C442" s="7"/>
    </row>
    <row r="443" spans="3:3">
      <c r="C443" s="7"/>
    </row>
    <row r="444" spans="3:3">
      <c r="C444" s="7"/>
    </row>
    <row r="445" spans="3:3">
      <c r="C445" s="7"/>
    </row>
    <row r="446" spans="3:3">
      <c r="C446" s="7"/>
    </row>
    <row r="447" spans="3:3">
      <c r="C447" s="7"/>
    </row>
    <row r="448" spans="3:3">
      <c r="C448" s="7"/>
    </row>
  </sheetData>
  <sortState xmlns:xlrd2="http://schemas.microsoft.com/office/spreadsheetml/2017/richdata2" ref="B3:B90">
    <sortCondition ref="B3:B9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598C-3ECC-D847-A2D6-3229AD25184A}">
  <dimension ref="A3:J651"/>
  <sheetViews>
    <sheetView topLeftCell="B1" workbookViewId="0">
      <selection activeCell="G4" sqref="G4"/>
    </sheetView>
  </sheetViews>
  <sheetFormatPr defaultColWidth="11" defaultRowHeight="15.95"/>
  <cols>
    <col min="1" max="1" width="53.125" bestFit="1" customWidth="1"/>
    <col min="6" max="6" width="30" bestFit="1" customWidth="1"/>
    <col min="7" max="7" width="13" bestFit="1" customWidth="1"/>
    <col min="9" max="9" width="23.625" bestFit="1" customWidth="1"/>
    <col min="10" max="10" width="57.375" bestFit="1" customWidth="1"/>
  </cols>
  <sheetData>
    <row r="3" spans="1:10">
      <c r="A3" s="2" t="s">
        <v>268</v>
      </c>
      <c r="B3" s="2" t="s">
        <v>0</v>
      </c>
      <c r="C3" s="2" t="s">
        <v>269</v>
      </c>
      <c r="D3" s="2" t="s">
        <v>270</v>
      </c>
      <c r="E3" s="2" t="s">
        <v>271</v>
      </c>
      <c r="F3" s="2" t="s">
        <v>272</v>
      </c>
      <c r="G3" s="2" t="s">
        <v>273</v>
      </c>
      <c r="H3" s="2" t="s">
        <v>0</v>
      </c>
      <c r="I3" s="2" t="s">
        <v>274</v>
      </c>
      <c r="J3" s="2" t="s">
        <v>275</v>
      </c>
    </row>
    <row r="4" spans="1:10">
      <c r="A4" t="s">
        <v>276</v>
      </c>
      <c r="B4" s="6">
        <v>45061</v>
      </c>
      <c r="C4">
        <v>2023</v>
      </c>
      <c r="D4">
        <v>5</v>
      </c>
      <c r="E4">
        <v>15</v>
      </c>
      <c r="F4" t="s">
        <v>196</v>
      </c>
      <c r="G4" t="str">
        <f>VLOOKUP(F4,'Pond name mapping'!B$3:C$91,2,FALSE)</f>
        <v>Bell</v>
      </c>
      <c r="H4" s="8" t="s">
        <v>187</v>
      </c>
      <c r="I4" t="str">
        <f>CONCATENATE(G4,"#",H4)</f>
        <v>Bell#2023-05-15</v>
      </c>
      <c r="J4" t="s">
        <v>277</v>
      </c>
    </row>
    <row r="5" spans="1:10">
      <c r="A5" t="s">
        <v>278</v>
      </c>
      <c r="B5" s="6">
        <v>45073</v>
      </c>
      <c r="C5">
        <v>2023</v>
      </c>
      <c r="D5">
        <v>5</v>
      </c>
      <c r="E5">
        <v>27</v>
      </c>
      <c r="F5" t="s">
        <v>196</v>
      </c>
      <c r="G5" t="str">
        <f>VLOOKUP(F5,'Pond name mapping'!B$3:C$91,2,FALSE)</f>
        <v>Bell</v>
      </c>
      <c r="H5" s="8" t="s">
        <v>188</v>
      </c>
      <c r="I5" t="str">
        <f t="shared" ref="I5:I68" si="0">CONCATENATE(G5,"#",H5)</f>
        <v>Bell#2023-05-27</v>
      </c>
      <c r="J5" t="s">
        <v>279</v>
      </c>
    </row>
    <row r="6" spans="1:10">
      <c r="A6" t="s">
        <v>280</v>
      </c>
      <c r="B6" s="6">
        <v>45089</v>
      </c>
      <c r="C6">
        <v>2023</v>
      </c>
      <c r="D6">
        <v>6</v>
      </c>
      <c r="E6">
        <v>12</v>
      </c>
      <c r="F6" t="s">
        <v>196</v>
      </c>
      <c r="G6" t="str">
        <f>VLOOKUP(F6,'Pond name mapping'!B$3:C$91,2,FALSE)</f>
        <v>Bell</v>
      </c>
      <c r="H6" s="8" t="s">
        <v>189</v>
      </c>
      <c r="I6" t="str">
        <f t="shared" si="0"/>
        <v>Bell#2023-06-12</v>
      </c>
      <c r="J6" t="s">
        <v>281</v>
      </c>
    </row>
    <row r="7" spans="1:10">
      <c r="A7" t="s">
        <v>282</v>
      </c>
      <c r="B7" s="6">
        <v>45101</v>
      </c>
      <c r="C7">
        <v>2023</v>
      </c>
      <c r="D7">
        <v>6</v>
      </c>
      <c r="E7">
        <v>24</v>
      </c>
      <c r="F7" t="s">
        <v>196</v>
      </c>
      <c r="G7" t="str">
        <f>VLOOKUP(F7,'Pond name mapping'!B$3:C$91,2,FALSE)</f>
        <v>Bell</v>
      </c>
      <c r="H7" s="8" t="s">
        <v>283</v>
      </c>
      <c r="I7" t="str">
        <f t="shared" si="0"/>
        <v>Bell#2023-06-24</v>
      </c>
      <c r="J7" t="s">
        <v>284</v>
      </c>
    </row>
    <row r="8" spans="1:10">
      <c r="A8" t="s">
        <v>285</v>
      </c>
      <c r="B8" s="6">
        <v>45117</v>
      </c>
      <c r="C8">
        <v>2023</v>
      </c>
      <c r="D8">
        <v>7</v>
      </c>
      <c r="E8">
        <v>10</v>
      </c>
      <c r="F8" t="s">
        <v>196</v>
      </c>
      <c r="G8" t="str">
        <f>VLOOKUP(F8,'Pond name mapping'!B$3:C$91,2,FALSE)</f>
        <v>Bell</v>
      </c>
      <c r="H8" s="8" t="s">
        <v>182</v>
      </c>
      <c r="I8" t="str">
        <f t="shared" si="0"/>
        <v>Bell#2023-07-10</v>
      </c>
      <c r="J8" t="s">
        <v>286</v>
      </c>
    </row>
    <row r="9" spans="1:10">
      <c r="A9" t="s">
        <v>287</v>
      </c>
      <c r="B9" s="6">
        <v>45129</v>
      </c>
      <c r="C9">
        <v>2023</v>
      </c>
      <c r="D9">
        <v>7</v>
      </c>
      <c r="E9">
        <v>22</v>
      </c>
      <c r="F9" t="s">
        <v>196</v>
      </c>
      <c r="G9" t="str">
        <f>VLOOKUP(F9,'Pond name mapping'!B$3:C$91,2,FALSE)</f>
        <v>Bell</v>
      </c>
      <c r="H9" s="8" t="s">
        <v>183</v>
      </c>
      <c r="I9" t="str">
        <f t="shared" si="0"/>
        <v>Bell#2023-07-22</v>
      </c>
      <c r="J9" t="s">
        <v>288</v>
      </c>
    </row>
    <row r="10" spans="1:10">
      <c r="A10" t="s">
        <v>289</v>
      </c>
      <c r="B10" s="6">
        <v>45145</v>
      </c>
      <c r="C10">
        <v>2023</v>
      </c>
      <c r="D10">
        <v>8</v>
      </c>
      <c r="E10">
        <v>7</v>
      </c>
      <c r="F10" t="s">
        <v>196</v>
      </c>
      <c r="G10" t="str">
        <f>VLOOKUP(F10,'Pond name mapping'!B$3:C$91,2,FALSE)</f>
        <v>Bell</v>
      </c>
      <c r="H10" s="8" t="s">
        <v>180</v>
      </c>
      <c r="I10" t="str">
        <f t="shared" si="0"/>
        <v>Bell#2023-08-07</v>
      </c>
      <c r="J10" t="s">
        <v>290</v>
      </c>
    </row>
    <row r="11" spans="1:10">
      <c r="A11" t="s">
        <v>291</v>
      </c>
      <c r="B11" s="6">
        <v>45157</v>
      </c>
      <c r="C11">
        <v>2023</v>
      </c>
      <c r="D11">
        <v>8</v>
      </c>
      <c r="E11">
        <v>19</v>
      </c>
      <c r="F11" t="s">
        <v>196</v>
      </c>
      <c r="G11" t="str">
        <f>VLOOKUP(F11,'Pond name mapping'!B$3:C$91,2,FALSE)</f>
        <v>Bell</v>
      </c>
      <c r="H11" s="8" t="s">
        <v>184</v>
      </c>
      <c r="I11" t="str">
        <f t="shared" si="0"/>
        <v>Bell#2023-08-19</v>
      </c>
      <c r="J11" t="s">
        <v>292</v>
      </c>
    </row>
    <row r="12" spans="1:10">
      <c r="A12" t="s">
        <v>293</v>
      </c>
      <c r="B12" s="6">
        <v>45185</v>
      </c>
      <c r="C12">
        <v>2023</v>
      </c>
      <c r="D12">
        <v>9</v>
      </c>
      <c r="E12">
        <v>16</v>
      </c>
      <c r="F12" t="s">
        <v>196</v>
      </c>
      <c r="G12" t="str">
        <f>VLOOKUP(F12,'Pond name mapping'!B$3:C$91,2,FALSE)</f>
        <v>Bell</v>
      </c>
      <c r="H12" s="8" t="s">
        <v>181</v>
      </c>
      <c r="I12" t="str">
        <f t="shared" si="0"/>
        <v>Bell#2023-09-16</v>
      </c>
      <c r="J12" t="s">
        <v>294</v>
      </c>
    </row>
    <row r="13" spans="1:10">
      <c r="A13" t="s">
        <v>295</v>
      </c>
      <c r="B13" s="6">
        <v>45201</v>
      </c>
      <c r="C13">
        <v>2023</v>
      </c>
      <c r="D13">
        <v>10</v>
      </c>
      <c r="E13">
        <v>2</v>
      </c>
      <c r="F13" t="s">
        <v>196</v>
      </c>
      <c r="G13" t="str">
        <f>VLOOKUP(F13,'Pond name mapping'!B$3:C$91,2,FALSE)</f>
        <v>Bell</v>
      </c>
      <c r="H13" s="8" t="s">
        <v>190</v>
      </c>
      <c r="I13" t="str">
        <f t="shared" si="0"/>
        <v>Bell#2023-10-02</v>
      </c>
      <c r="J13" t="s">
        <v>296</v>
      </c>
    </row>
    <row r="14" spans="1:10">
      <c r="A14" t="s">
        <v>297</v>
      </c>
      <c r="B14" s="6">
        <v>45213</v>
      </c>
      <c r="C14">
        <v>2023</v>
      </c>
      <c r="D14">
        <v>10</v>
      </c>
      <c r="E14">
        <v>14</v>
      </c>
      <c r="F14" t="s">
        <v>196</v>
      </c>
      <c r="G14" t="str">
        <f>VLOOKUP(F14,'Pond name mapping'!B$3:C$91,2,FALSE)</f>
        <v>Bell</v>
      </c>
      <c r="H14" s="8" t="s">
        <v>186</v>
      </c>
      <c r="I14" t="str">
        <f t="shared" si="0"/>
        <v>Bell#2023-10-14</v>
      </c>
      <c r="J14" t="s">
        <v>298</v>
      </c>
    </row>
    <row r="15" spans="1:10">
      <c r="A15" t="s">
        <v>299</v>
      </c>
      <c r="B15" s="6">
        <v>45045</v>
      </c>
      <c r="C15">
        <v>2023</v>
      </c>
      <c r="D15">
        <v>4</v>
      </c>
      <c r="E15">
        <v>29</v>
      </c>
      <c r="F15" t="s">
        <v>14</v>
      </c>
      <c r="G15" t="str">
        <f>VLOOKUP(F15,'Pond name mapping'!B$3:C$91,2,FALSE)</f>
        <v>Burncoat</v>
      </c>
      <c r="H15" s="8" t="s">
        <v>300</v>
      </c>
      <c r="I15" t="str">
        <f t="shared" si="0"/>
        <v>Burncoat#2023-04-29</v>
      </c>
      <c r="J15" t="s">
        <v>301</v>
      </c>
    </row>
    <row r="16" spans="1:10">
      <c r="A16" t="s">
        <v>302</v>
      </c>
      <c r="B16" s="6">
        <v>44366</v>
      </c>
      <c r="C16">
        <v>2021</v>
      </c>
      <c r="D16">
        <v>6</v>
      </c>
      <c r="E16">
        <v>19</v>
      </c>
      <c r="F16" t="s">
        <v>14</v>
      </c>
      <c r="G16" t="str">
        <f>VLOOKUP(F16,'Pond name mapping'!B$3:C$91,2,FALSE)</f>
        <v>Burncoat</v>
      </c>
      <c r="H16" s="8" t="s">
        <v>303</v>
      </c>
      <c r="I16" t="str">
        <f t="shared" si="0"/>
        <v>Burncoat#2021-06-19</v>
      </c>
      <c r="J16" t="s">
        <v>302</v>
      </c>
    </row>
    <row r="17" spans="1:10">
      <c r="A17" t="s">
        <v>304</v>
      </c>
      <c r="B17" s="6">
        <v>44683</v>
      </c>
      <c r="C17">
        <v>2022</v>
      </c>
      <c r="D17">
        <v>5</v>
      </c>
      <c r="E17">
        <v>2</v>
      </c>
      <c r="F17" t="s">
        <v>14</v>
      </c>
      <c r="G17" t="str">
        <f>VLOOKUP(F17,'Pond name mapping'!B$3:C$91,2,FALSE)</f>
        <v>Burncoat</v>
      </c>
      <c r="H17" s="8" t="s">
        <v>305</v>
      </c>
      <c r="I17" t="str">
        <f t="shared" si="0"/>
        <v>Burncoat#2022-05-02</v>
      </c>
      <c r="J17" t="s">
        <v>304</v>
      </c>
    </row>
    <row r="18" spans="1:10">
      <c r="A18" t="s">
        <v>306</v>
      </c>
      <c r="B18" s="6">
        <v>44702</v>
      </c>
      <c r="C18">
        <v>2022</v>
      </c>
      <c r="D18">
        <v>5</v>
      </c>
      <c r="E18">
        <v>21</v>
      </c>
      <c r="F18" t="s">
        <v>14</v>
      </c>
      <c r="G18" t="str">
        <f>VLOOKUP(F18,'Pond name mapping'!B$3:C$91,2,FALSE)</f>
        <v>Burncoat</v>
      </c>
      <c r="H18" s="8" t="s">
        <v>307</v>
      </c>
      <c r="I18" t="str">
        <f t="shared" si="0"/>
        <v>Burncoat#2022-05-21</v>
      </c>
      <c r="J18" t="s">
        <v>306</v>
      </c>
    </row>
    <row r="19" spans="1:10">
      <c r="A19" t="s">
        <v>308</v>
      </c>
      <c r="B19" s="6">
        <v>44718</v>
      </c>
      <c r="C19">
        <v>2022</v>
      </c>
      <c r="D19">
        <v>6</v>
      </c>
      <c r="E19">
        <v>6</v>
      </c>
      <c r="F19" t="s">
        <v>14</v>
      </c>
      <c r="G19" t="str">
        <f>VLOOKUP(F19,'Pond name mapping'!B$3:C$91,2,FALSE)</f>
        <v>Burncoat</v>
      </c>
      <c r="H19" s="8" t="s">
        <v>309</v>
      </c>
      <c r="I19" t="str">
        <f t="shared" si="0"/>
        <v>Burncoat#2022-06-06</v>
      </c>
      <c r="J19" t="s">
        <v>308</v>
      </c>
    </row>
    <row r="20" spans="1:10">
      <c r="A20" t="s">
        <v>310</v>
      </c>
      <c r="B20" s="6">
        <v>44730</v>
      </c>
      <c r="C20">
        <v>2022</v>
      </c>
      <c r="D20">
        <v>6</v>
      </c>
      <c r="E20">
        <v>18</v>
      </c>
      <c r="F20" t="s">
        <v>14</v>
      </c>
      <c r="G20" t="str">
        <f>VLOOKUP(F20,'Pond name mapping'!B$3:C$91,2,FALSE)</f>
        <v>Burncoat</v>
      </c>
      <c r="H20" s="8" t="s">
        <v>311</v>
      </c>
      <c r="I20" t="str">
        <f t="shared" si="0"/>
        <v>Burncoat#2022-06-18</v>
      </c>
      <c r="J20" t="s">
        <v>310</v>
      </c>
    </row>
    <row r="21" spans="1:10">
      <c r="A21" t="s">
        <v>312</v>
      </c>
      <c r="B21" s="6">
        <v>44747</v>
      </c>
      <c r="C21">
        <v>2022</v>
      </c>
      <c r="D21">
        <v>7</v>
      </c>
      <c r="E21">
        <v>5</v>
      </c>
      <c r="F21" t="s">
        <v>14</v>
      </c>
      <c r="G21" t="str">
        <f>VLOOKUP(F21,'Pond name mapping'!B$3:C$91,2,FALSE)</f>
        <v>Burncoat</v>
      </c>
      <c r="H21" s="8" t="s">
        <v>313</v>
      </c>
      <c r="I21" t="str">
        <f t="shared" si="0"/>
        <v>Burncoat#2022-07-05</v>
      </c>
      <c r="J21" t="s">
        <v>312</v>
      </c>
    </row>
    <row r="22" spans="1:10">
      <c r="A22" t="s">
        <v>314</v>
      </c>
      <c r="B22" s="6">
        <v>44758</v>
      </c>
      <c r="C22">
        <v>2022</v>
      </c>
      <c r="D22">
        <v>7</v>
      </c>
      <c r="E22">
        <v>16</v>
      </c>
      <c r="F22" t="s">
        <v>14</v>
      </c>
      <c r="G22" t="str">
        <f>VLOOKUP(F22,'Pond name mapping'!B$3:C$91,2,FALSE)</f>
        <v>Burncoat</v>
      </c>
      <c r="H22" s="8" t="s">
        <v>315</v>
      </c>
      <c r="I22" t="str">
        <f t="shared" si="0"/>
        <v>Burncoat#2022-07-16</v>
      </c>
      <c r="J22" t="s">
        <v>314</v>
      </c>
    </row>
    <row r="23" spans="1:10">
      <c r="A23" t="s">
        <v>316</v>
      </c>
      <c r="B23" s="6">
        <v>44774</v>
      </c>
      <c r="C23">
        <v>2022</v>
      </c>
      <c r="D23">
        <v>8</v>
      </c>
      <c r="E23">
        <v>1</v>
      </c>
      <c r="F23" t="s">
        <v>14</v>
      </c>
      <c r="G23" t="str">
        <f>VLOOKUP(F23,'Pond name mapping'!B$3:C$91,2,FALSE)</f>
        <v>Burncoat</v>
      </c>
      <c r="H23" s="8" t="s">
        <v>317</v>
      </c>
      <c r="I23" t="str">
        <f t="shared" si="0"/>
        <v>Burncoat#2022-08-01</v>
      </c>
      <c r="J23" t="s">
        <v>318</v>
      </c>
    </row>
    <row r="24" spans="1:10">
      <c r="A24" t="s">
        <v>319</v>
      </c>
      <c r="B24" s="6">
        <v>44816</v>
      </c>
      <c r="C24">
        <v>2022</v>
      </c>
      <c r="D24">
        <v>9</v>
      </c>
      <c r="E24">
        <v>12</v>
      </c>
      <c r="F24" t="s">
        <v>14</v>
      </c>
      <c r="G24" t="str">
        <f>VLOOKUP(F24,'Pond name mapping'!B$3:C$91,2,FALSE)</f>
        <v>Burncoat</v>
      </c>
      <c r="H24" s="8" t="s">
        <v>320</v>
      </c>
      <c r="I24" t="str">
        <f t="shared" si="0"/>
        <v>Burncoat#2022-09-12</v>
      </c>
      <c r="J24" t="s">
        <v>319</v>
      </c>
    </row>
    <row r="25" spans="1:10">
      <c r="A25" t="s">
        <v>321</v>
      </c>
      <c r="B25" s="6">
        <v>44816</v>
      </c>
      <c r="C25">
        <v>2022</v>
      </c>
      <c r="D25">
        <v>9</v>
      </c>
      <c r="E25">
        <v>12</v>
      </c>
      <c r="F25" t="s">
        <v>14</v>
      </c>
      <c r="G25" t="str">
        <f>VLOOKUP(F25,'Pond name mapping'!B$3:C$91,2,FALSE)</f>
        <v>Burncoat</v>
      </c>
      <c r="H25" s="8" t="s">
        <v>320</v>
      </c>
      <c r="I25" t="str">
        <f t="shared" si="0"/>
        <v>Burncoat#2022-09-12</v>
      </c>
      <c r="J25" t="s">
        <v>322</v>
      </c>
    </row>
    <row r="26" spans="1:10">
      <c r="A26" t="s">
        <v>323</v>
      </c>
      <c r="B26" s="6">
        <v>44828</v>
      </c>
      <c r="C26">
        <v>2022</v>
      </c>
      <c r="D26">
        <v>9</v>
      </c>
      <c r="E26">
        <v>24</v>
      </c>
      <c r="F26" t="s">
        <v>14</v>
      </c>
      <c r="G26" t="str">
        <f>VLOOKUP(F26,'Pond name mapping'!B$3:C$91,2,FALSE)</f>
        <v>Burncoat</v>
      </c>
      <c r="H26" s="8" t="s">
        <v>324</v>
      </c>
      <c r="I26" t="str">
        <f t="shared" si="0"/>
        <v>Burncoat#2022-09-24</v>
      </c>
      <c r="J26" t="s">
        <v>323</v>
      </c>
    </row>
    <row r="27" spans="1:10">
      <c r="A27" t="s">
        <v>325</v>
      </c>
      <c r="B27" s="6">
        <v>44837</v>
      </c>
      <c r="C27">
        <v>2022</v>
      </c>
      <c r="D27">
        <v>10</v>
      </c>
      <c r="E27">
        <v>3</v>
      </c>
      <c r="F27" t="s">
        <v>14</v>
      </c>
      <c r="G27" t="str">
        <f>VLOOKUP(F27,'Pond name mapping'!B$3:C$91,2,FALSE)</f>
        <v>Burncoat</v>
      </c>
      <c r="H27" s="8" t="s">
        <v>326</v>
      </c>
      <c r="I27" t="str">
        <f t="shared" si="0"/>
        <v>Burncoat#2022-10-03</v>
      </c>
      <c r="J27" t="s">
        <v>327</v>
      </c>
    </row>
    <row r="28" spans="1:10">
      <c r="A28" t="s">
        <v>328</v>
      </c>
      <c r="B28" s="6">
        <v>44464</v>
      </c>
      <c r="C28">
        <v>2021</v>
      </c>
      <c r="D28">
        <v>9</v>
      </c>
      <c r="E28">
        <v>25</v>
      </c>
      <c r="F28" t="s">
        <v>14</v>
      </c>
      <c r="G28" t="str">
        <f>VLOOKUP(F28,'Pond name mapping'!B$3:C$91,2,FALSE)</f>
        <v>Burncoat</v>
      </c>
      <c r="H28" s="8" t="s">
        <v>329</v>
      </c>
      <c r="I28" t="str">
        <f t="shared" si="0"/>
        <v>Burncoat#2021-09-25</v>
      </c>
      <c r="J28" t="s">
        <v>328</v>
      </c>
    </row>
    <row r="29" spans="1:10">
      <c r="A29" t="s">
        <v>330</v>
      </c>
      <c r="B29" s="6">
        <v>44485</v>
      </c>
      <c r="C29">
        <v>2021</v>
      </c>
      <c r="D29">
        <v>10</v>
      </c>
      <c r="E29">
        <v>16</v>
      </c>
      <c r="F29" t="s">
        <v>14</v>
      </c>
      <c r="G29" t="str">
        <f>VLOOKUP(F29,'Pond name mapping'!B$3:C$91,2,FALSE)</f>
        <v>Burncoat</v>
      </c>
      <c r="H29" s="8" t="s">
        <v>331</v>
      </c>
      <c r="I29" t="str">
        <f t="shared" si="0"/>
        <v>Burncoat#2021-10-16</v>
      </c>
      <c r="J29" t="s">
        <v>330</v>
      </c>
    </row>
    <row r="30" spans="1:10">
      <c r="A30" t="s">
        <v>332</v>
      </c>
      <c r="B30" s="6">
        <v>44485</v>
      </c>
      <c r="C30">
        <v>2021</v>
      </c>
      <c r="D30">
        <v>10</v>
      </c>
      <c r="E30">
        <v>16</v>
      </c>
      <c r="F30" t="s">
        <v>14</v>
      </c>
      <c r="G30" t="str">
        <f>VLOOKUP(F30,'Pond name mapping'!B$3:C$91,2,FALSE)</f>
        <v>Burncoat</v>
      </c>
      <c r="H30" s="8" t="s">
        <v>331</v>
      </c>
      <c r="I30" t="str">
        <f t="shared" si="0"/>
        <v>Burncoat#2021-10-16</v>
      </c>
      <c r="J30" t="s">
        <v>332</v>
      </c>
    </row>
    <row r="31" spans="1:10">
      <c r="A31" t="s">
        <v>333</v>
      </c>
      <c r="B31" s="6">
        <v>45446</v>
      </c>
      <c r="C31">
        <v>2024</v>
      </c>
      <c r="D31">
        <v>6</v>
      </c>
      <c r="E31">
        <v>3</v>
      </c>
      <c r="F31" t="s">
        <v>197</v>
      </c>
      <c r="G31" t="str">
        <f>VLOOKUP(F31,'Pond name mapping'!B$3:C$91,2,FALSE)</f>
        <v>Burncoat</v>
      </c>
      <c r="H31" s="8" t="s">
        <v>334</v>
      </c>
      <c r="I31" t="str">
        <f t="shared" si="0"/>
        <v>Burncoat#2024-06-03</v>
      </c>
      <c r="J31" t="s">
        <v>335</v>
      </c>
    </row>
    <row r="32" spans="1:10">
      <c r="A32" t="s">
        <v>336</v>
      </c>
      <c r="B32" s="6">
        <v>45061</v>
      </c>
      <c r="C32">
        <v>2023</v>
      </c>
      <c r="D32">
        <v>5</v>
      </c>
      <c r="E32">
        <v>15</v>
      </c>
      <c r="F32" t="s">
        <v>198</v>
      </c>
      <c r="G32" t="str">
        <f>VLOOKUP(F32,'Pond name mapping'!B$3:C$91,2,FALSE)</f>
        <v>Burncoat</v>
      </c>
      <c r="H32" s="8" t="s">
        <v>187</v>
      </c>
      <c r="I32" t="str">
        <f t="shared" si="0"/>
        <v>Burncoat#2023-05-15</v>
      </c>
      <c r="J32" t="s">
        <v>337</v>
      </c>
    </row>
    <row r="33" spans="1:10">
      <c r="A33" t="s">
        <v>338</v>
      </c>
      <c r="B33" s="6">
        <v>45101</v>
      </c>
      <c r="C33">
        <v>2023</v>
      </c>
      <c r="D33">
        <v>6</v>
      </c>
      <c r="E33">
        <v>24</v>
      </c>
      <c r="F33" t="s">
        <v>198</v>
      </c>
      <c r="G33" t="str">
        <f>VLOOKUP(F33,'Pond name mapping'!B$3:C$91,2,FALSE)</f>
        <v>Burncoat</v>
      </c>
      <c r="H33" s="8" t="s">
        <v>283</v>
      </c>
      <c r="I33" t="str">
        <f t="shared" si="0"/>
        <v>Burncoat#2023-06-24</v>
      </c>
      <c r="J33" t="s">
        <v>339</v>
      </c>
    </row>
    <row r="34" spans="1:10">
      <c r="A34" t="s">
        <v>340</v>
      </c>
      <c r="B34" s="6">
        <v>45117</v>
      </c>
      <c r="C34">
        <v>2023</v>
      </c>
      <c r="D34">
        <v>7</v>
      </c>
      <c r="E34">
        <v>10</v>
      </c>
      <c r="F34" t="s">
        <v>198</v>
      </c>
      <c r="G34" t="str">
        <f>VLOOKUP(F34,'Pond name mapping'!B$3:C$91,2,FALSE)</f>
        <v>Burncoat</v>
      </c>
      <c r="H34" s="8" t="s">
        <v>182</v>
      </c>
      <c r="I34" t="str">
        <f t="shared" si="0"/>
        <v>Burncoat#2023-07-10</v>
      </c>
      <c r="J34" t="s">
        <v>341</v>
      </c>
    </row>
    <row r="35" spans="1:10">
      <c r="A35" t="s">
        <v>342</v>
      </c>
      <c r="B35" s="6">
        <v>45129</v>
      </c>
      <c r="C35">
        <v>2023</v>
      </c>
      <c r="D35">
        <v>7</v>
      </c>
      <c r="E35">
        <v>22</v>
      </c>
      <c r="F35" t="s">
        <v>198</v>
      </c>
      <c r="G35" t="str">
        <f>VLOOKUP(F35,'Pond name mapping'!B$3:C$91,2,FALSE)</f>
        <v>Burncoat</v>
      </c>
      <c r="H35" s="8" t="s">
        <v>183</v>
      </c>
      <c r="I35" t="str">
        <f t="shared" si="0"/>
        <v>Burncoat#2023-07-22</v>
      </c>
      <c r="J35" t="s">
        <v>343</v>
      </c>
    </row>
    <row r="36" spans="1:10">
      <c r="A36" t="s">
        <v>344</v>
      </c>
      <c r="B36" s="6">
        <v>45145</v>
      </c>
      <c r="C36">
        <v>2023</v>
      </c>
      <c r="D36">
        <v>8</v>
      </c>
      <c r="E36">
        <v>7</v>
      </c>
      <c r="F36" t="s">
        <v>198</v>
      </c>
      <c r="G36" t="str">
        <f>VLOOKUP(F36,'Pond name mapping'!B$3:C$91,2,FALSE)</f>
        <v>Burncoat</v>
      </c>
      <c r="H36" s="8" t="s">
        <v>180</v>
      </c>
      <c r="I36" t="str">
        <f t="shared" si="0"/>
        <v>Burncoat#2023-08-07</v>
      </c>
      <c r="J36" t="s">
        <v>345</v>
      </c>
    </row>
    <row r="37" spans="1:10">
      <c r="A37" t="s">
        <v>346</v>
      </c>
      <c r="B37" s="6">
        <v>45157</v>
      </c>
      <c r="C37">
        <v>2023</v>
      </c>
      <c r="D37">
        <v>8</v>
      </c>
      <c r="E37">
        <v>19</v>
      </c>
      <c r="F37" t="s">
        <v>198</v>
      </c>
      <c r="G37" t="str">
        <f>VLOOKUP(F37,'Pond name mapping'!B$3:C$91,2,FALSE)</f>
        <v>Burncoat</v>
      </c>
      <c r="H37" s="8" t="s">
        <v>184</v>
      </c>
      <c r="I37" t="str">
        <f t="shared" si="0"/>
        <v>Burncoat#2023-08-19</v>
      </c>
      <c r="J37" t="s">
        <v>347</v>
      </c>
    </row>
    <row r="38" spans="1:10">
      <c r="A38" t="s">
        <v>348</v>
      </c>
      <c r="B38" s="6">
        <v>45174</v>
      </c>
      <c r="C38">
        <v>2023</v>
      </c>
      <c r="D38">
        <v>9</v>
      </c>
      <c r="E38">
        <v>5</v>
      </c>
      <c r="F38" t="s">
        <v>198</v>
      </c>
      <c r="G38" t="str">
        <f>VLOOKUP(F38,'Pond name mapping'!B$3:C$91,2,FALSE)</f>
        <v>Burncoat</v>
      </c>
      <c r="H38" s="8" t="s">
        <v>185</v>
      </c>
      <c r="I38" t="str">
        <f t="shared" si="0"/>
        <v>Burncoat#2023-09-05</v>
      </c>
      <c r="J38" t="s">
        <v>349</v>
      </c>
    </row>
    <row r="39" spans="1:10">
      <c r="A39" t="s">
        <v>350</v>
      </c>
      <c r="B39" s="6">
        <v>45201</v>
      </c>
      <c r="C39">
        <v>2023</v>
      </c>
      <c r="D39">
        <v>10</v>
      </c>
      <c r="E39">
        <v>2</v>
      </c>
      <c r="F39" t="s">
        <v>198</v>
      </c>
      <c r="G39" t="str">
        <f>VLOOKUP(F39,'Pond name mapping'!B$3:C$91,2,FALSE)</f>
        <v>Burncoat</v>
      </c>
      <c r="H39" s="8" t="s">
        <v>190</v>
      </c>
      <c r="I39" t="str">
        <f t="shared" si="0"/>
        <v>Burncoat#2023-10-02</v>
      </c>
      <c r="J39" t="s">
        <v>351</v>
      </c>
    </row>
    <row r="40" spans="1:10">
      <c r="A40" t="s">
        <v>352</v>
      </c>
      <c r="B40" s="6">
        <v>45213</v>
      </c>
      <c r="C40">
        <v>2023</v>
      </c>
      <c r="D40">
        <v>10</v>
      </c>
      <c r="E40">
        <v>14</v>
      </c>
      <c r="F40" t="s">
        <v>198</v>
      </c>
      <c r="G40" t="str">
        <f>VLOOKUP(F40,'Pond name mapping'!B$3:C$91,2,FALSE)</f>
        <v>Burncoat</v>
      </c>
      <c r="H40" s="8" t="s">
        <v>186</v>
      </c>
      <c r="I40" t="str">
        <f t="shared" si="0"/>
        <v>Burncoat#2023-10-14</v>
      </c>
      <c r="J40" t="s">
        <v>353</v>
      </c>
    </row>
    <row r="41" spans="1:10">
      <c r="A41" t="s">
        <v>354</v>
      </c>
      <c r="B41" s="6">
        <v>45229</v>
      </c>
      <c r="C41">
        <v>2023</v>
      </c>
      <c r="D41">
        <v>10</v>
      </c>
      <c r="E41">
        <v>30</v>
      </c>
      <c r="F41" t="s">
        <v>198</v>
      </c>
      <c r="G41" t="str">
        <f>VLOOKUP(F41,'Pond name mapping'!B$3:C$91,2,FALSE)</f>
        <v>Burncoat</v>
      </c>
      <c r="H41" s="8" t="s">
        <v>355</v>
      </c>
      <c r="I41" t="str">
        <f t="shared" si="0"/>
        <v>Burncoat#2023-10-30</v>
      </c>
      <c r="J41" t="s">
        <v>356</v>
      </c>
    </row>
    <row r="42" spans="1:10">
      <c r="A42" t="s">
        <v>357</v>
      </c>
      <c r="B42" s="6">
        <v>45446</v>
      </c>
      <c r="C42">
        <v>2024</v>
      </c>
      <c r="D42">
        <v>6</v>
      </c>
      <c r="E42">
        <v>3</v>
      </c>
      <c r="F42" t="s">
        <v>17</v>
      </c>
      <c r="G42" t="str">
        <f>VLOOKUP(F42,'Pond name mapping'!B$3:C$91,2,FALSE)</f>
        <v>Burncoat</v>
      </c>
      <c r="H42" s="8" t="s">
        <v>334</v>
      </c>
      <c r="I42" t="str">
        <f t="shared" si="0"/>
        <v>Burncoat#2024-06-03</v>
      </c>
      <c r="J42" t="s">
        <v>358</v>
      </c>
    </row>
    <row r="43" spans="1:10">
      <c r="A43" t="s">
        <v>359</v>
      </c>
      <c r="B43" s="6">
        <v>45045</v>
      </c>
      <c r="C43">
        <v>2023</v>
      </c>
      <c r="D43">
        <v>4</v>
      </c>
      <c r="E43">
        <v>29</v>
      </c>
      <c r="F43" t="s">
        <v>17</v>
      </c>
      <c r="G43" t="str">
        <f>VLOOKUP(F43,'Pond name mapping'!B$3:C$91,2,FALSE)</f>
        <v>Burncoat</v>
      </c>
      <c r="H43" s="8" t="s">
        <v>300</v>
      </c>
      <c r="I43" t="str">
        <f t="shared" si="0"/>
        <v>Burncoat#2023-04-29</v>
      </c>
      <c r="J43" t="s">
        <v>360</v>
      </c>
    </row>
    <row r="44" spans="1:10">
      <c r="A44" t="s">
        <v>361</v>
      </c>
      <c r="B44" s="6">
        <v>45073</v>
      </c>
      <c r="C44">
        <v>2023</v>
      </c>
      <c r="D44">
        <v>5</v>
      </c>
      <c r="E44">
        <v>27</v>
      </c>
      <c r="F44" t="s">
        <v>17</v>
      </c>
      <c r="G44" t="str">
        <f>VLOOKUP(F44,'Pond name mapping'!B$3:C$91,2,FALSE)</f>
        <v>Burncoat</v>
      </c>
      <c r="H44" s="8" t="s">
        <v>188</v>
      </c>
      <c r="I44" t="str">
        <f t="shared" si="0"/>
        <v>Burncoat#2023-05-27</v>
      </c>
      <c r="J44" t="s">
        <v>362</v>
      </c>
    </row>
    <row r="45" spans="1:10">
      <c r="A45" t="s">
        <v>363</v>
      </c>
      <c r="B45" s="6">
        <v>45089</v>
      </c>
      <c r="C45">
        <v>2023</v>
      </c>
      <c r="D45">
        <v>6</v>
      </c>
      <c r="E45">
        <v>12</v>
      </c>
      <c r="F45" t="s">
        <v>17</v>
      </c>
      <c r="G45" t="str">
        <f>VLOOKUP(F45,'Pond name mapping'!B$3:C$91,2,FALSE)</f>
        <v>Burncoat</v>
      </c>
      <c r="H45" s="8" t="s">
        <v>189</v>
      </c>
      <c r="I45" t="str">
        <f t="shared" si="0"/>
        <v>Burncoat#2023-06-12</v>
      </c>
      <c r="J45" t="s">
        <v>364</v>
      </c>
    </row>
    <row r="46" spans="1:10">
      <c r="A46" t="s">
        <v>365</v>
      </c>
      <c r="B46" s="6">
        <v>44366</v>
      </c>
      <c r="C46">
        <v>2021</v>
      </c>
      <c r="D46">
        <v>6</v>
      </c>
      <c r="E46">
        <v>19</v>
      </c>
      <c r="F46" t="s">
        <v>17</v>
      </c>
      <c r="G46" t="str">
        <f>VLOOKUP(F46,'Pond name mapping'!B$3:C$91,2,FALSE)</f>
        <v>Burncoat</v>
      </c>
      <c r="H46" s="8" t="s">
        <v>303</v>
      </c>
      <c r="I46" t="str">
        <f t="shared" si="0"/>
        <v>Burncoat#2021-06-19</v>
      </c>
      <c r="J46" t="s">
        <v>365</v>
      </c>
    </row>
    <row r="47" spans="1:10">
      <c r="A47" t="s">
        <v>366</v>
      </c>
      <c r="B47" s="6">
        <v>44683</v>
      </c>
      <c r="C47">
        <v>2022</v>
      </c>
      <c r="D47">
        <v>5</v>
      </c>
      <c r="E47">
        <v>2</v>
      </c>
      <c r="F47" t="s">
        <v>17</v>
      </c>
      <c r="G47" t="str">
        <f>VLOOKUP(F47,'Pond name mapping'!B$3:C$91,2,FALSE)</f>
        <v>Burncoat</v>
      </c>
      <c r="H47" s="8" t="s">
        <v>305</v>
      </c>
      <c r="I47" t="str">
        <f t="shared" si="0"/>
        <v>Burncoat#2022-05-02</v>
      </c>
      <c r="J47" t="s">
        <v>366</v>
      </c>
    </row>
    <row r="48" spans="1:10">
      <c r="A48" t="s">
        <v>367</v>
      </c>
      <c r="B48" s="6">
        <v>44702</v>
      </c>
      <c r="C48">
        <v>2022</v>
      </c>
      <c r="D48">
        <v>5</v>
      </c>
      <c r="E48">
        <v>21</v>
      </c>
      <c r="F48" t="s">
        <v>17</v>
      </c>
      <c r="G48" t="str">
        <f>VLOOKUP(F48,'Pond name mapping'!B$3:C$91,2,FALSE)</f>
        <v>Burncoat</v>
      </c>
      <c r="H48" s="8" t="s">
        <v>307</v>
      </c>
      <c r="I48" t="str">
        <f t="shared" si="0"/>
        <v>Burncoat#2022-05-21</v>
      </c>
      <c r="J48" t="s">
        <v>367</v>
      </c>
    </row>
    <row r="49" spans="1:10">
      <c r="A49" t="s">
        <v>368</v>
      </c>
      <c r="B49" s="6">
        <v>44718</v>
      </c>
      <c r="C49">
        <v>2022</v>
      </c>
      <c r="D49">
        <v>6</v>
      </c>
      <c r="E49">
        <v>6</v>
      </c>
      <c r="F49" t="s">
        <v>17</v>
      </c>
      <c r="G49" t="str">
        <f>VLOOKUP(F49,'Pond name mapping'!B$3:C$91,2,FALSE)</f>
        <v>Burncoat</v>
      </c>
      <c r="H49" s="8" t="s">
        <v>309</v>
      </c>
      <c r="I49" t="str">
        <f t="shared" si="0"/>
        <v>Burncoat#2022-06-06</v>
      </c>
      <c r="J49" t="s">
        <v>368</v>
      </c>
    </row>
    <row r="50" spans="1:10">
      <c r="A50" t="s">
        <v>369</v>
      </c>
      <c r="B50" s="6">
        <v>44730</v>
      </c>
      <c r="C50">
        <v>2022</v>
      </c>
      <c r="D50">
        <v>6</v>
      </c>
      <c r="E50">
        <v>18</v>
      </c>
      <c r="F50" t="s">
        <v>17</v>
      </c>
      <c r="G50" t="str">
        <f>VLOOKUP(F50,'Pond name mapping'!B$3:C$91,2,FALSE)</f>
        <v>Burncoat</v>
      </c>
      <c r="H50" s="8" t="s">
        <v>311</v>
      </c>
      <c r="I50" t="str">
        <f t="shared" si="0"/>
        <v>Burncoat#2022-06-18</v>
      </c>
      <c r="J50" t="s">
        <v>370</v>
      </c>
    </row>
    <row r="51" spans="1:10">
      <c r="A51" t="s">
        <v>371</v>
      </c>
      <c r="B51" s="6">
        <v>44758</v>
      </c>
      <c r="C51">
        <v>2022</v>
      </c>
      <c r="D51">
        <v>7</v>
      </c>
      <c r="E51">
        <v>16</v>
      </c>
      <c r="F51" t="s">
        <v>17</v>
      </c>
      <c r="G51" t="str">
        <f>VLOOKUP(F51,'Pond name mapping'!B$3:C$91,2,FALSE)</f>
        <v>Burncoat</v>
      </c>
      <c r="H51" s="8" t="s">
        <v>315</v>
      </c>
      <c r="I51" t="str">
        <f t="shared" si="0"/>
        <v>Burncoat#2022-07-16</v>
      </c>
      <c r="J51" t="s">
        <v>372</v>
      </c>
    </row>
    <row r="52" spans="1:10">
      <c r="A52" t="s">
        <v>373</v>
      </c>
      <c r="B52" s="6">
        <v>44774</v>
      </c>
      <c r="C52">
        <v>2022</v>
      </c>
      <c r="D52">
        <v>8</v>
      </c>
      <c r="E52">
        <v>1</v>
      </c>
      <c r="F52" t="s">
        <v>17</v>
      </c>
      <c r="G52" t="str">
        <f>VLOOKUP(F52,'Pond name mapping'!B$3:C$91,2,FALSE)</f>
        <v>Burncoat</v>
      </c>
      <c r="H52" s="8" t="s">
        <v>317</v>
      </c>
      <c r="I52" t="str">
        <f t="shared" si="0"/>
        <v>Burncoat#2022-08-01</v>
      </c>
      <c r="J52" t="s">
        <v>374</v>
      </c>
    </row>
    <row r="53" spans="1:10">
      <c r="A53" t="s">
        <v>375</v>
      </c>
      <c r="B53" s="6">
        <v>44800</v>
      </c>
      <c r="C53">
        <v>2022</v>
      </c>
      <c r="D53">
        <v>8</v>
      </c>
      <c r="E53">
        <v>27</v>
      </c>
      <c r="F53" t="s">
        <v>17</v>
      </c>
      <c r="G53" t="str">
        <f>VLOOKUP(F53,'Pond name mapping'!B$3:C$91,2,FALSE)</f>
        <v>Burncoat</v>
      </c>
      <c r="H53" s="8" t="s">
        <v>376</v>
      </c>
      <c r="I53" t="str">
        <f t="shared" si="0"/>
        <v>Burncoat#2022-08-27</v>
      </c>
      <c r="J53" t="s">
        <v>377</v>
      </c>
    </row>
    <row r="54" spans="1:10">
      <c r="A54" t="s">
        <v>378</v>
      </c>
      <c r="B54" s="6">
        <v>44849</v>
      </c>
      <c r="C54">
        <v>2022</v>
      </c>
      <c r="D54">
        <v>10</v>
      </c>
      <c r="E54">
        <v>15</v>
      </c>
      <c r="F54" t="s">
        <v>17</v>
      </c>
      <c r="G54" t="str">
        <f>VLOOKUP(F54,'Pond name mapping'!B$3:C$91,2,FALSE)</f>
        <v>Burncoat</v>
      </c>
      <c r="H54" s="8" t="s">
        <v>379</v>
      </c>
      <c r="I54" t="str">
        <f t="shared" si="0"/>
        <v>Burncoat#2022-10-15</v>
      </c>
      <c r="J54" t="s">
        <v>380</v>
      </c>
    </row>
    <row r="55" spans="1:10">
      <c r="A55" t="s">
        <v>381</v>
      </c>
      <c r="B55" s="6">
        <v>44464</v>
      </c>
      <c r="C55">
        <v>2021</v>
      </c>
      <c r="D55">
        <v>9</v>
      </c>
      <c r="E55">
        <v>25</v>
      </c>
      <c r="F55" t="s">
        <v>17</v>
      </c>
      <c r="G55" t="str">
        <f>VLOOKUP(F55,'Pond name mapping'!B$3:C$91,2,FALSE)</f>
        <v>Burncoat</v>
      </c>
      <c r="H55" s="8" t="s">
        <v>329</v>
      </c>
      <c r="I55" t="str">
        <f t="shared" si="0"/>
        <v>Burncoat#2021-09-25</v>
      </c>
      <c r="J55" t="s">
        <v>381</v>
      </c>
    </row>
    <row r="56" spans="1:10">
      <c r="A56" t="s">
        <v>382</v>
      </c>
      <c r="B56" s="6">
        <v>44464</v>
      </c>
      <c r="C56">
        <v>2021</v>
      </c>
      <c r="D56">
        <v>9</v>
      </c>
      <c r="E56">
        <v>25</v>
      </c>
      <c r="F56" t="s">
        <v>17</v>
      </c>
      <c r="G56" t="str">
        <f>VLOOKUP(F56,'Pond name mapping'!B$3:C$91,2,FALSE)</f>
        <v>Burncoat</v>
      </c>
      <c r="H56" s="8" t="s">
        <v>329</v>
      </c>
      <c r="I56" t="str">
        <f t="shared" si="0"/>
        <v>Burncoat#2021-09-25</v>
      </c>
      <c r="J56" t="s">
        <v>382</v>
      </c>
    </row>
    <row r="57" spans="1:10">
      <c r="A57" t="s">
        <v>383</v>
      </c>
      <c r="B57" s="6">
        <v>44485</v>
      </c>
      <c r="C57">
        <v>2021</v>
      </c>
      <c r="D57">
        <v>10</v>
      </c>
      <c r="E57">
        <v>16</v>
      </c>
      <c r="F57" t="s">
        <v>17</v>
      </c>
      <c r="G57" t="str">
        <f>VLOOKUP(F57,'Pond name mapping'!B$3:C$91,2,FALSE)</f>
        <v>Burncoat</v>
      </c>
      <c r="H57" s="8" t="s">
        <v>331</v>
      </c>
      <c r="I57" t="str">
        <f t="shared" si="0"/>
        <v>Burncoat#2021-10-16</v>
      </c>
      <c r="J57" t="s">
        <v>383</v>
      </c>
    </row>
    <row r="58" spans="1:10">
      <c r="A58" t="s">
        <v>384</v>
      </c>
      <c r="B58" s="6">
        <v>44485</v>
      </c>
      <c r="C58">
        <v>2021</v>
      </c>
      <c r="D58">
        <v>10</v>
      </c>
      <c r="E58">
        <v>16</v>
      </c>
      <c r="F58" t="s">
        <v>17</v>
      </c>
      <c r="G58" t="str">
        <f>VLOOKUP(F58,'Pond name mapping'!B$3:C$91,2,FALSE)</f>
        <v>Burncoat</v>
      </c>
      <c r="H58" s="8" t="s">
        <v>331</v>
      </c>
      <c r="I58" t="str">
        <f t="shared" si="0"/>
        <v>Burncoat#2021-10-16</v>
      </c>
      <c r="J58" t="s">
        <v>384</v>
      </c>
    </row>
    <row r="59" spans="1:10">
      <c r="A59" t="s">
        <v>385</v>
      </c>
      <c r="B59" s="6">
        <v>45045</v>
      </c>
      <c r="C59">
        <v>2023</v>
      </c>
      <c r="D59">
        <v>4</v>
      </c>
      <c r="E59">
        <v>29</v>
      </c>
      <c r="F59" t="s">
        <v>54</v>
      </c>
      <c r="G59" t="str">
        <f>VLOOKUP(F59,'Pond name mapping'!B$3:C$91,2,FALSE)</f>
        <v>Chauncy</v>
      </c>
      <c r="H59" s="8" t="s">
        <v>300</v>
      </c>
      <c r="I59" t="str">
        <f t="shared" si="0"/>
        <v>Chauncy#2023-04-29</v>
      </c>
      <c r="J59" t="s">
        <v>386</v>
      </c>
    </row>
    <row r="60" spans="1:10">
      <c r="A60" t="s">
        <v>387</v>
      </c>
      <c r="B60" s="6">
        <v>45073</v>
      </c>
      <c r="C60">
        <v>2023</v>
      </c>
      <c r="D60">
        <v>5</v>
      </c>
      <c r="E60">
        <v>27</v>
      </c>
      <c r="F60" t="s">
        <v>54</v>
      </c>
      <c r="G60" t="str">
        <f>VLOOKUP(F60,'Pond name mapping'!B$3:C$91,2,FALSE)</f>
        <v>Chauncy</v>
      </c>
      <c r="H60" s="8" t="s">
        <v>188</v>
      </c>
      <c r="I60" t="str">
        <f t="shared" si="0"/>
        <v>Chauncy#2023-05-27</v>
      </c>
      <c r="J60" t="s">
        <v>388</v>
      </c>
    </row>
    <row r="61" spans="1:10">
      <c r="A61" t="s">
        <v>389</v>
      </c>
      <c r="B61" s="6">
        <v>45045</v>
      </c>
      <c r="C61">
        <v>2023</v>
      </c>
      <c r="D61">
        <v>4</v>
      </c>
      <c r="E61">
        <v>29</v>
      </c>
      <c r="F61" t="s">
        <v>199</v>
      </c>
      <c r="G61" t="str">
        <f>VLOOKUP(F61,'Pond name mapping'!B$3:C$91,2,FALSE)</f>
        <v>Coes.R</v>
      </c>
      <c r="H61" s="8" t="s">
        <v>300</v>
      </c>
      <c r="I61" t="str">
        <f t="shared" si="0"/>
        <v>Coes.R#2023-04-29</v>
      </c>
      <c r="J61" t="s">
        <v>390</v>
      </c>
    </row>
    <row r="62" spans="1:10">
      <c r="A62" t="s">
        <v>391</v>
      </c>
      <c r="B62" s="6">
        <v>45073</v>
      </c>
      <c r="C62">
        <v>2023</v>
      </c>
      <c r="D62">
        <v>5</v>
      </c>
      <c r="E62">
        <v>27</v>
      </c>
      <c r="F62" t="s">
        <v>199</v>
      </c>
      <c r="G62" t="str">
        <f>VLOOKUP(F62,'Pond name mapping'!B$3:C$91,2,FALSE)</f>
        <v>Coes.R</v>
      </c>
      <c r="H62" s="8" t="s">
        <v>188</v>
      </c>
      <c r="I62" t="str">
        <f t="shared" si="0"/>
        <v>Coes.R#2023-05-27</v>
      </c>
      <c r="J62" t="s">
        <v>392</v>
      </c>
    </row>
    <row r="63" spans="1:10">
      <c r="A63" t="s">
        <v>393</v>
      </c>
      <c r="B63" s="6">
        <v>45073</v>
      </c>
      <c r="C63">
        <v>2023</v>
      </c>
      <c r="D63">
        <v>5</v>
      </c>
      <c r="E63">
        <v>27</v>
      </c>
      <c r="F63" t="s">
        <v>199</v>
      </c>
      <c r="G63" t="str">
        <f>VLOOKUP(F63,'Pond name mapping'!B$3:C$91,2,FALSE)</f>
        <v>Coes.R</v>
      </c>
      <c r="H63" s="8" t="s">
        <v>188</v>
      </c>
      <c r="I63" t="str">
        <f t="shared" si="0"/>
        <v>Coes.R#2023-05-27</v>
      </c>
      <c r="J63" t="s">
        <v>394</v>
      </c>
    </row>
    <row r="64" spans="1:10">
      <c r="A64" t="s">
        <v>395</v>
      </c>
      <c r="B64" s="6">
        <v>45089</v>
      </c>
      <c r="C64">
        <v>2023</v>
      </c>
      <c r="D64">
        <v>6</v>
      </c>
      <c r="E64">
        <v>12</v>
      </c>
      <c r="F64" t="s">
        <v>199</v>
      </c>
      <c r="G64" t="str">
        <f>VLOOKUP(F64,'Pond name mapping'!B$3:C$91,2,FALSE)</f>
        <v>Coes.R</v>
      </c>
      <c r="H64" s="8" t="s">
        <v>189</v>
      </c>
      <c r="I64" t="str">
        <f t="shared" si="0"/>
        <v>Coes.R#2023-06-12</v>
      </c>
      <c r="J64" t="s">
        <v>396</v>
      </c>
    </row>
    <row r="65" spans="1:10">
      <c r="A65" t="s">
        <v>397</v>
      </c>
      <c r="B65" s="6">
        <v>45117</v>
      </c>
      <c r="C65">
        <v>2023</v>
      </c>
      <c r="D65">
        <v>7</v>
      </c>
      <c r="E65">
        <v>10</v>
      </c>
      <c r="F65" t="s">
        <v>199</v>
      </c>
      <c r="G65" t="str">
        <f>VLOOKUP(F65,'Pond name mapping'!B$3:C$91,2,FALSE)</f>
        <v>Coes.R</v>
      </c>
      <c r="H65" s="8" t="s">
        <v>182</v>
      </c>
      <c r="I65" t="str">
        <f t="shared" si="0"/>
        <v>Coes.R#2023-07-10</v>
      </c>
      <c r="J65" t="s">
        <v>398</v>
      </c>
    </row>
    <row r="66" spans="1:10">
      <c r="A66" t="s">
        <v>399</v>
      </c>
      <c r="B66" s="6">
        <v>45229</v>
      </c>
      <c r="C66">
        <v>2023</v>
      </c>
      <c r="D66">
        <v>10</v>
      </c>
      <c r="E66">
        <v>30</v>
      </c>
      <c r="F66" t="s">
        <v>199</v>
      </c>
      <c r="G66" t="str">
        <f>VLOOKUP(F66,'Pond name mapping'!B$3:C$91,2,FALSE)</f>
        <v>Coes.R</v>
      </c>
      <c r="H66" s="8" t="s">
        <v>355</v>
      </c>
      <c r="I66" t="str">
        <f t="shared" si="0"/>
        <v>Coes.R#2023-10-30</v>
      </c>
      <c r="J66" t="s">
        <v>400</v>
      </c>
    </row>
    <row r="67" spans="1:10">
      <c r="A67" t="s">
        <v>401</v>
      </c>
      <c r="B67" s="6">
        <v>44774</v>
      </c>
      <c r="C67">
        <v>2022</v>
      </c>
      <c r="D67">
        <v>8</v>
      </c>
      <c r="E67">
        <v>1</v>
      </c>
      <c r="F67" t="s">
        <v>199</v>
      </c>
      <c r="G67" t="str">
        <f>VLOOKUP(F67,'Pond name mapping'!B$3:C$91,2,FALSE)</f>
        <v>Coes.R</v>
      </c>
      <c r="H67" s="8" t="s">
        <v>317</v>
      </c>
      <c r="I67" t="str">
        <f t="shared" si="0"/>
        <v>Coes.R#2022-08-01</v>
      </c>
      <c r="J67" t="s">
        <v>402</v>
      </c>
    </row>
    <row r="68" spans="1:10">
      <c r="A68" t="s">
        <v>403</v>
      </c>
      <c r="B68" s="6">
        <v>45061</v>
      </c>
      <c r="C68">
        <v>2023</v>
      </c>
      <c r="D68">
        <v>5</v>
      </c>
      <c r="E68">
        <v>15</v>
      </c>
      <c r="F68" t="s">
        <v>200</v>
      </c>
      <c r="G68" t="str">
        <f>VLOOKUP(F68,'Pond name mapping'!B$3:C$91,2,FALSE)</f>
        <v>Coes.R</v>
      </c>
      <c r="H68" s="8" t="s">
        <v>187</v>
      </c>
      <c r="I68" t="str">
        <f t="shared" si="0"/>
        <v>Coes.R#2023-05-15</v>
      </c>
      <c r="J68" t="s">
        <v>404</v>
      </c>
    </row>
    <row r="69" spans="1:10">
      <c r="A69" t="s">
        <v>405</v>
      </c>
      <c r="B69" s="6">
        <v>45101</v>
      </c>
      <c r="C69">
        <v>2023</v>
      </c>
      <c r="D69">
        <v>6</v>
      </c>
      <c r="E69">
        <v>24</v>
      </c>
      <c r="F69" t="s">
        <v>200</v>
      </c>
      <c r="G69" t="str">
        <f>VLOOKUP(F69,'Pond name mapping'!B$3:C$91,2,FALSE)</f>
        <v>Coes.R</v>
      </c>
      <c r="H69" s="8" t="s">
        <v>283</v>
      </c>
      <c r="I69" t="str">
        <f t="shared" ref="I69:I132" si="1">CONCATENATE(G69,"#",H69)</f>
        <v>Coes.R#2023-06-24</v>
      </c>
      <c r="J69" t="s">
        <v>406</v>
      </c>
    </row>
    <row r="70" spans="1:10">
      <c r="A70" t="s">
        <v>407</v>
      </c>
      <c r="B70" s="6">
        <v>45129</v>
      </c>
      <c r="C70">
        <v>2023</v>
      </c>
      <c r="D70">
        <v>7</v>
      </c>
      <c r="E70">
        <v>22</v>
      </c>
      <c r="F70" t="s">
        <v>200</v>
      </c>
      <c r="G70" t="str">
        <f>VLOOKUP(F70,'Pond name mapping'!B$3:C$91,2,FALSE)</f>
        <v>Coes.R</v>
      </c>
      <c r="H70" s="8" t="s">
        <v>183</v>
      </c>
      <c r="I70" t="str">
        <f t="shared" si="1"/>
        <v>Coes.R#2023-07-22</v>
      </c>
      <c r="J70" t="s">
        <v>408</v>
      </c>
    </row>
    <row r="71" spans="1:10">
      <c r="A71" t="s">
        <v>409</v>
      </c>
      <c r="B71" s="6">
        <v>45145</v>
      </c>
      <c r="C71">
        <v>2023</v>
      </c>
      <c r="D71">
        <v>8</v>
      </c>
      <c r="E71">
        <v>7</v>
      </c>
      <c r="F71" t="s">
        <v>200</v>
      </c>
      <c r="G71" t="str">
        <f>VLOOKUP(F71,'Pond name mapping'!B$3:C$91,2,FALSE)</f>
        <v>Coes.R</v>
      </c>
      <c r="H71" s="8" t="s">
        <v>180</v>
      </c>
      <c r="I71" t="str">
        <f t="shared" si="1"/>
        <v>Coes.R#2023-08-07</v>
      </c>
      <c r="J71" t="s">
        <v>410</v>
      </c>
    </row>
    <row r="72" spans="1:10">
      <c r="A72" t="s">
        <v>411</v>
      </c>
      <c r="B72" s="6">
        <v>45157</v>
      </c>
      <c r="C72">
        <v>2023</v>
      </c>
      <c r="D72">
        <v>8</v>
      </c>
      <c r="E72">
        <v>19</v>
      </c>
      <c r="F72" t="s">
        <v>200</v>
      </c>
      <c r="G72" t="str">
        <f>VLOOKUP(F72,'Pond name mapping'!B$3:C$91,2,FALSE)</f>
        <v>Coes.R</v>
      </c>
      <c r="H72" s="8" t="s">
        <v>184</v>
      </c>
      <c r="I72" t="str">
        <f t="shared" si="1"/>
        <v>Coes.R#2023-08-19</v>
      </c>
      <c r="J72" t="s">
        <v>412</v>
      </c>
    </row>
    <row r="73" spans="1:10">
      <c r="A73" t="s">
        <v>413</v>
      </c>
      <c r="B73" s="6">
        <v>45174</v>
      </c>
      <c r="C73">
        <v>2023</v>
      </c>
      <c r="D73">
        <v>9</v>
      </c>
      <c r="E73">
        <v>5</v>
      </c>
      <c r="F73" t="s">
        <v>200</v>
      </c>
      <c r="G73" t="str">
        <f>VLOOKUP(F73,'Pond name mapping'!B$3:C$91,2,FALSE)</f>
        <v>Coes.R</v>
      </c>
      <c r="H73" s="8" t="s">
        <v>185</v>
      </c>
      <c r="I73" t="str">
        <f t="shared" si="1"/>
        <v>Coes.R#2023-09-05</v>
      </c>
      <c r="J73" t="s">
        <v>414</v>
      </c>
    </row>
    <row r="74" spans="1:10">
      <c r="A74" t="s">
        <v>415</v>
      </c>
      <c r="B74" s="6">
        <v>45185</v>
      </c>
      <c r="C74">
        <v>2023</v>
      </c>
      <c r="D74">
        <v>9</v>
      </c>
      <c r="E74">
        <v>16</v>
      </c>
      <c r="F74" t="s">
        <v>200</v>
      </c>
      <c r="G74" t="str">
        <f>VLOOKUP(F74,'Pond name mapping'!B$3:C$91,2,FALSE)</f>
        <v>Coes.R</v>
      </c>
      <c r="H74" s="8" t="s">
        <v>181</v>
      </c>
      <c r="I74" t="str">
        <f t="shared" si="1"/>
        <v>Coes.R#2023-09-16</v>
      </c>
      <c r="J74" t="s">
        <v>416</v>
      </c>
    </row>
    <row r="75" spans="1:10">
      <c r="A75" t="s">
        <v>417</v>
      </c>
      <c r="B75" s="6">
        <v>45201</v>
      </c>
      <c r="C75">
        <v>2023</v>
      </c>
      <c r="D75">
        <v>10</v>
      </c>
      <c r="E75">
        <v>2</v>
      </c>
      <c r="F75" t="s">
        <v>200</v>
      </c>
      <c r="G75" t="str">
        <f>VLOOKUP(F75,'Pond name mapping'!B$3:C$91,2,FALSE)</f>
        <v>Coes.R</v>
      </c>
      <c r="H75" s="8" t="s">
        <v>190</v>
      </c>
      <c r="I75" t="str">
        <f t="shared" si="1"/>
        <v>Coes.R#2023-10-02</v>
      </c>
      <c r="J75" t="s">
        <v>418</v>
      </c>
    </row>
    <row r="76" spans="1:10">
      <c r="A76" t="s">
        <v>419</v>
      </c>
      <c r="B76" s="6">
        <v>45213</v>
      </c>
      <c r="C76">
        <v>2023</v>
      </c>
      <c r="D76">
        <v>10</v>
      </c>
      <c r="E76">
        <v>14</v>
      </c>
      <c r="F76" t="s">
        <v>200</v>
      </c>
      <c r="G76" t="str">
        <f>VLOOKUP(F76,'Pond name mapping'!B$3:C$91,2,FALSE)</f>
        <v>Coes.R</v>
      </c>
      <c r="H76" s="8" t="s">
        <v>186</v>
      </c>
      <c r="I76" t="str">
        <f t="shared" si="1"/>
        <v>Coes.R#2023-10-14</v>
      </c>
      <c r="J76" t="s">
        <v>420</v>
      </c>
    </row>
    <row r="77" spans="1:10">
      <c r="A77" t="s">
        <v>421</v>
      </c>
      <c r="B77" s="6">
        <v>44816</v>
      </c>
      <c r="C77">
        <v>2022</v>
      </c>
      <c r="D77">
        <v>9</v>
      </c>
      <c r="E77">
        <v>12</v>
      </c>
      <c r="F77" t="s">
        <v>200</v>
      </c>
      <c r="G77" t="str">
        <f>VLOOKUP(F77,'Pond name mapping'!B$3:C$91,2,FALSE)</f>
        <v>Coes.R</v>
      </c>
      <c r="H77" s="8" t="s">
        <v>320</v>
      </c>
      <c r="I77" t="str">
        <f t="shared" si="1"/>
        <v>Coes.R#2022-09-12</v>
      </c>
      <c r="J77" t="s">
        <v>422</v>
      </c>
    </row>
    <row r="78" spans="1:10">
      <c r="A78" t="s">
        <v>423</v>
      </c>
      <c r="B78" s="6">
        <v>44830</v>
      </c>
      <c r="C78">
        <v>2022</v>
      </c>
      <c r="D78">
        <v>9</v>
      </c>
      <c r="E78">
        <v>26</v>
      </c>
      <c r="F78" t="s">
        <v>200</v>
      </c>
      <c r="G78" t="str">
        <f>VLOOKUP(F78,'Pond name mapping'!B$3:C$91,2,FALSE)</f>
        <v>Coes.R</v>
      </c>
      <c r="H78" s="8" t="s">
        <v>424</v>
      </c>
      <c r="I78" t="str">
        <f t="shared" si="1"/>
        <v>Coes.R#2022-09-26</v>
      </c>
      <c r="J78" t="s">
        <v>425</v>
      </c>
    </row>
    <row r="79" spans="1:10">
      <c r="A79" t="s">
        <v>426</v>
      </c>
      <c r="B79" s="6">
        <v>44837</v>
      </c>
      <c r="C79">
        <v>2022</v>
      </c>
      <c r="D79">
        <v>10</v>
      </c>
      <c r="E79">
        <v>3</v>
      </c>
      <c r="F79" t="s">
        <v>200</v>
      </c>
      <c r="G79" t="str">
        <f>VLOOKUP(F79,'Pond name mapping'!B$3:C$91,2,FALSE)</f>
        <v>Coes.R</v>
      </c>
      <c r="H79" s="8" t="s">
        <v>326</v>
      </c>
      <c r="I79" t="str">
        <f t="shared" si="1"/>
        <v>Coes.R#2022-10-03</v>
      </c>
      <c r="J79" t="s">
        <v>427</v>
      </c>
    </row>
    <row r="80" spans="1:10">
      <c r="A80" t="s">
        <v>428</v>
      </c>
      <c r="B80" s="6">
        <v>45446</v>
      </c>
      <c r="C80">
        <v>2024</v>
      </c>
      <c r="D80">
        <v>6</v>
      </c>
      <c r="E80">
        <v>3</v>
      </c>
      <c r="F80" t="s">
        <v>201</v>
      </c>
      <c r="G80" t="str">
        <f>VLOOKUP(F80,'Pond name mapping'!B$3:C$91,2,FALSE)</f>
        <v>Coes</v>
      </c>
      <c r="H80" s="8" t="s">
        <v>334</v>
      </c>
      <c r="I80" t="str">
        <f t="shared" si="1"/>
        <v>Coes#2024-06-03</v>
      </c>
      <c r="J80" t="s">
        <v>429</v>
      </c>
    </row>
    <row r="81" spans="1:10">
      <c r="A81" t="s">
        <v>430</v>
      </c>
      <c r="B81" s="6">
        <v>44366</v>
      </c>
      <c r="C81">
        <v>2021</v>
      </c>
      <c r="D81">
        <v>6</v>
      </c>
      <c r="E81">
        <v>19</v>
      </c>
      <c r="F81" t="s">
        <v>201</v>
      </c>
      <c r="G81" t="str">
        <f>VLOOKUP(F81,'Pond name mapping'!B$3:C$91,2,FALSE)</f>
        <v>Coes</v>
      </c>
      <c r="H81" s="8" t="s">
        <v>303</v>
      </c>
      <c r="I81" t="str">
        <f t="shared" si="1"/>
        <v>Coes#2021-06-19</v>
      </c>
      <c r="J81" t="s">
        <v>430</v>
      </c>
    </row>
    <row r="82" spans="1:10">
      <c r="A82" t="s">
        <v>431</v>
      </c>
      <c r="B82" s="6">
        <v>44366</v>
      </c>
      <c r="C82">
        <v>2021</v>
      </c>
      <c r="D82">
        <v>6</v>
      </c>
      <c r="E82">
        <v>19</v>
      </c>
      <c r="F82" t="s">
        <v>201</v>
      </c>
      <c r="G82" t="str">
        <f>VLOOKUP(F82,'Pond name mapping'!B$3:C$91,2,FALSE)</f>
        <v>Coes</v>
      </c>
      <c r="H82" s="8" t="s">
        <v>303</v>
      </c>
      <c r="I82" t="str">
        <f t="shared" si="1"/>
        <v>Coes#2021-06-19</v>
      </c>
      <c r="J82" t="s">
        <v>431</v>
      </c>
    </row>
    <row r="83" spans="1:10">
      <c r="A83" t="s">
        <v>432</v>
      </c>
      <c r="B83" s="6">
        <v>44464</v>
      </c>
      <c r="C83">
        <v>2021</v>
      </c>
      <c r="D83">
        <v>9</v>
      </c>
      <c r="E83">
        <v>25</v>
      </c>
      <c r="F83" t="s">
        <v>202</v>
      </c>
      <c r="G83" t="str">
        <f>VLOOKUP(F83,'Pond name mapping'!B$3:C$91,2,FALSE)</f>
        <v>Coes.R</v>
      </c>
      <c r="H83" s="8" t="s">
        <v>329</v>
      </c>
      <c r="I83" t="str">
        <f t="shared" si="1"/>
        <v>Coes.R#2021-09-25</v>
      </c>
      <c r="J83" t="s">
        <v>432</v>
      </c>
    </row>
    <row r="84" spans="1:10">
      <c r="A84" t="s">
        <v>433</v>
      </c>
      <c r="B84" s="6">
        <v>44464</v>
      </c>
      <c r="C84">
        <v>2021</v>
      </c>
      <c r="D84">
        <v>9</v>
      </c>
      <c r="E84">
        <v>25</v>
      </c>
      <c r="F84" t="s">
        <v>202</v>
      </c>
      <c r="G84" t="str">
        <f>VLOOKUP(F84,'Pond name mapping'!B$3:C$91,2,FALSE)</f>
        <v>Coes.R</v>
      </c>
      <c r="H84" s="8" t="s">
        <v>329</v>
      </c>
      <c r="I84" t="str">
        <f t="shared" si="1"/>
        <v>Coes.R#2021-09-25</v>
      </c>
      <c r="J84" t="s">
        <v>433</v>
      </c>
    </row>
    <row r="85" spans="1:10">
      <c r="A85" t="s">
        <v>434</v>
      </c>
      <c r="B85" s="6">
        <v>44485</v>
      </c>
      <c r="C85">
        <v>2021</v>
      </c>
      <c r="D85">
        <v>10</v>
      </c>
      <c r="E85">
        <v>16</v>
      </c>
      <c r="F85" t="s">
        <v>202</v>
      </c>
      <c r="G85" t="str">
        <f>VLOOKUP(F85,'Pond name mapping'!B$3:C$91,2,FALSE)</f>
        <v>Coes.R</v>
      </c>
      <c r="H85" s="8" t="s">
        <v>331</v>
      </c>
      <c r="I85" t="str">
        <f t="shared" si="1"/>
        <v>Coes.R#2021-10-16</v>
      </c>
      <c r="J85" t="s">
        <v>434</v>
      </c>
    </row>
    <row r="86" spans="1:10">
      <c r="A86" t="s">
        <v>435</v>
      </c>
      <c r="B86" s="6">
        <v>44485</v>
      </c>
      <c r="C86">
        <v>2021</v>
      </c>
      <c r="D86">
        <v>10</v>
      </c>
      <c r="E86">
        <v>16</v>
      </c>
      <c r="F86" t="s">
        <v>202</v>
      </c>
      <c r="G86" t="str">
        <f>VLOOKUP(F86,'Pond name mapping'!B$3:C$91,2,FALSE)</f>
        <v>Coes.R</v>
      </c>
      <c r="H86" s="8" t="s">
        <v>331</v>
      </c>
      <c r="I86" t="str">
        <f t="shared" si="1"/>
        <v>Coes.R#2021-10-16</v>
      </c>
      <c r="J86" t="s">
        <v>435</v>
      </c>
    </row>
    <row r="87" spans="1:10">
      <c r="A87" t="s">
        <v>436</v>
      </c>
      <c r="B87" s="6">
        <v>44718</v>
      </c>
      <c r="C87">
        <v>2022</v>
      </c>
      <c r="D87">
        <v>6</v>
      </c>
      <c r="E87">
        <v>6</v>
      </c>
      <c r="F87" t="s">
        <v>203</v>
      </c>
      <c r="G87" t="str">
        <f>VLOOKUP(F87,'Pond name mapping'!B$3:C$91,2,FALSE)</f>
        <v>Coes.R</v>
      </c>
      <c r="H87" s="8" t="s">
        <v>309</v>
      </c>
      <c r="I87" t="str">
        <f t="shared" si="1"/>
        <v>Coes.R#2022-06-06</v>
      </c>
      <c r="J87" t="s">
        <v>436</v>
      </c>
    </row>
    <row r="88" spans="1:10">
      <c r="A88" t="s">
        <v>437</v>
      </c>
      <c r="B88" s="6">
        <v>44747</v>
      </c>
      <c r="C88">
        <v>2022</v>
      </c>
      <c r="D88">
        <v>7</v>
      </c>
      <c r="E88">
        <v>5</v>
      </c>
      <c r="F88" t="s">
        <v>203</v>
      </c>
      <c r="G88" t="str">
        <f>VLOOKUP(F88,'Pond name mapping'!B$3:C$91,2,FALSE)</f>
        <v>Coes.R</v>
      </c>
      <c r="H88" s="8" t="s">
        <v>313</v>
      </c>
      <c r="I88" t="str">
        <f t="shared" si="1"/>
        <v>Coes.R#2022-07-05</v>
      </c>
      <c r="J88" t="s">
        <v>437</v>
      </c>
    </row>
    <row r="89" spans="1:10">
      <c r="A89" t="s">
        <v>438</v>
      </c>
      <c r="B89" s="6">
        <v>44761</v>
      </c>
      <c r="C89">
        <v>2022</v>
      </c>
      <c r="D89">
        <v>7</v>
      </c>
      <c r="E89">
        <v>19</v>
      </c>
      <c r="F89" t="s">
        <v>203</v>
      </c>
      <c r="G89" t="str">
        <f>VLOOKUP(F89,'Pond name mapping'!B$3:C$91,2,FALSE)</f>
        <v>Coes.R</v>
      </c>
      <c r="H89" s="8" t="s">
        <v>439</v>
      </c>
      <c r="I89" t="str">
        <f t="shared" si="1"/>
        <v>Coes.R#2022-07-19</v>
      </c>
      <c r="J89" t="s">
        <v>438</v>
      </c>
    </row>
    <row r="90" spans="1:10">
      <c r="A90" t="s">
        <v>440</v>
      </c>
      <c r="B90" s="6">
        <v>44464</v>
      </c>
      <c r="C90">
        <v>2021</v>
      </c>
      <c r="D90">
        <v>9</v>
      </c>
      <c r="E90">
        <v>25</v>
      </c>
      <c r="F90" t="s">
        <v>203</v>
      </c>
      <c r="G90" t="str">
        <f>VLOOKUP(F90,'Pond name mapping'!B$3:C$91,2,FALSE)</f>
        <v>Coes.R</v>
      </c>
      <c r="H90" s="8" t="s">
        <v>329</v>
      </c>
      <c r="I90" t="str">
        <f t="shared" si="1"/>
        <v>Coes.R#2021-09-25</v>
      </c>
      <c r="J90" t="s">
        <v>440</v>
      </c>
    </row>
    <row r="91" spans="1:10">
      <c r="A91" t="s">
        <v>441</v>
      </c>
      <c r="B91" s="6">
        <v>44464</v>
      </c>
      <c r="C91">
        <v>2021</v>
      </c>
      <c r="D91">
        <v>9</v>
      </c>
      <c r="E91">
        <v>25</v>
      </c>
      <c r="F91" t="s">
        <v>203</v>
      </c>
      <c r="G91" t="str">
        <f>VLOOKUP(F91,'Pond name mapping'!B$3:C$91,2,FALSE)</f>
        <v>Coes.R</v>
      </c>
      <c r="H91" s="8" t="s">
        <v>329</v>
      </c>
      <c r="I91" t="str">
        <f t="shared" si="1"/>
        <v>Coes.R#2021-09-25</v>
      </c>
      <c r="J91" t="s">
        <v>441</v>
      </c>
    </row>
    <row r="92" spans="1:10">
      <c r="A92" t="s">
        <v>442</v>
      </c>
      <c r="B92" s="6">
        <v>44485</v>
      </c>
      <c r="C92">
        <v>2021</v>
      </c>
      <c r="D92">
        <v>10</v>
      </c>
      <c r="E92">
        <v>16</v>
      </c>
      <c r="F92" t="s">
        <v>203</v>
      </c>
      <c r="G92" t="str">
        <f>VLOOKUP(F92,'Pond name mapping'!B$3:C$91,2,FALSE)</f>
        <v>Coes.R</v>
      </c>
      <c r="H92" s="8" t="s">
        <v>331</v>
      </c>
      <c r="I92" t="str">
        <f t="shared" si="1"/>
        <v>Coes.R#2021-10-16</v>
      </c>
      <c r="J92" t="s">
        <v>442</v>
      </c>
    </row>
    <row r="93" spans="1:10">
      <c r="A93" t="s">
        <v>443</v>
      </c>
      <c r="B93" s="6">
        <v>44485</v>
      </c>
      <c r="C93">
        <v>2021</v>
      </c>
      <c r="D93">
        <v>10</v>
      </c>
      <c r="E93">
        <v>16</v>
      </c>
      <c r="F93" t="s">
        <v>203</v>
      </c>
      <c r="G93" t="str">
        <f>VLOOKUP(F93,'Pond name mapping'!B$3:C$91,2,FALSE)</f>
        <v>Coes.R</v>
      </c>
      <c r="H93" s="8" t="s">
        <v>331</v>
      </c>
      <c r="I93" t="str">
        <f t="shared" si="1"/>
        <v>Coes.R#2021-10-16</v>
      </c>
      <c r="J93" t="s">
        <v>443</v>
      </c>
    </row>
    <row r="94" spans="1:10">
      <c r="A94" t="s">
        <v>444</v>
      </c>
      <c r="B94" s="6">
        <v>44683</v>
      </c>
      <c r="C94">
        <v>2022</v>
      </c>
      <c r="D94">
        <v>5</v>
      </c>
      <c r="E94">
        <v>2</v>
      </c>
      <c r="F94" t="s">
        <v>204</v>
      </c>
      <c r="G94" t="str">
        <f>VLOOKUP(F94,'Pond name mapping'!B$3:C$91,2,FALSE)</f>
        <v>Coes.R</v>
      </c>
      <c r="H94" s="8" t="s">
        <v>305</v>
      </c>
      <c r="I94" t="str">
        <f t="shared" si="1"/>
        <v>Coes.R#2022-05-02</v>
      </c>
      <c r="J94" t="s">
        <v>444</v>
      </c>
    </row>
    <row r="95" spans="1:10">
      <c r="A95" t="s">
        <v>445</v>
      </c>
      <c r="B95" s="6">
        <v>44683</v>
      </c>
      <c r="C95">
        <v>2022</v>
      </c>
      <c r="D95">
        <v>5</v>
      </c>
      <c r="E95">
        <v>2</v>
      </c>
      <c r="F95" t="s">
        <v>205</v>
      </c>
      <c r="G95" t="str">
        <f>VLOOKUP(F95,'Pond name mapping'!B$3:C$91,2,FALSE)</f>
        <v>Coes.R</v>
      </c>
      <c r="H95" s="8" t="s">
        <v>305</v>
      </c>
      <c r="I95" t="str">
        <f t="shared" si="1"/>
        <v>Coes.R#2022-05-02</v>
      </c>
      <c r="J95" t="s">
        <v>445</v>
      </c>
    </row>
    <row r="96" spans="1:10">
      <c r="A96" t="s">
        <v>446</v>
      </c>
      <c r="B96" s="6">
        <v>45061</v>
      </c>
      <c r="C96">
        <v>2023</v>
      </c>
      <c r="D96">
        <v>5</v>
      </c>
      <c r="E96">
        <v>15</v>
      </c>
      <c r="F96" t="s">
        <v>206</v>
      </c>
      <c r="G96" t="str">
        <f>VLOOKUP(F96,'Pond name mapping'!B$3:C$91,2,FALSE)</f>
        <v>Cooks</v>
      </c>
      <c r="H96" s="8" t="s">
        <v>187</v>
      </c>
      <c r="I96" t="str">
        <f t="shared" si="1"/>
        <v>Cooks#2023-05-15</v>
      </c>
      <c r="J96" t="s">
        <v>447</v>
      </c>
    </row>
    <row r="97" spans="1:10">
      <c r="A97" t="s">
        <v>448</v>
      </c>
      <c r="B97" s="6">
        <v>45073</v>
      </c>
      <c r="C97">
        <v>2023</v>
      </c>
      <c r="D97">
        <v>5</v>
      </c>
      <c r="E97">
        <v>27</v>
      </c>
      <c r="F97" t="s">
        <v>206</v>
      </c>
      <c r="G97" t="str">
        <f>VLOOKUP(F97,'Pond name mapping'!B$3:C$91,2,FALSE)</f>
        <v>Cooks</v>
      </c>
      <c r="H97" s="8" t="s">
        <v>188</v>
      </c>
      <c r="I97" t="str">
        <f t="shared" si="1"/>
        <v>Cooks#2023-05-27</v>
      </c>
      <c r="J97" t="s">
        <v>449</v>
      </c>
    </row>
    <row r="98" spans="1:10">
      <c r="A98" t="s">
        <v>450</v>
      </c>
      <c r="B98" s="6">
        <v>45089</v>
      </c>
      <c r="C98">
        <v>2023</v>
      </c>
      <c r="D98">
        <v>6</v>
      </c>
      <c r="E98">
        <v>12</v>
      </c>
      <c r="F98" t="s">
        <v>206</v>
      </c>
      <c r="G98" t="str">
        <f>VLOOKUP(F98,'Pond name mapping'!B$3:C$91,2,FALSE)</f>
        <v>Cooks</v>
      </c>
      <c r="H98" s="8" t="s">
        <v>189</v>
      </c>
      <c r="I98" t="str">
        <f t="shared" si="1"/>
        <v>Cooks#2023-06-12</v>
      </c>
      <c r="J98" t="s">
        <v>451</v>
      </c>
    </row>
    <row r="99" spans="1:10">
      <c r="A99" t="s">
        <v>452</v>
      </c>
      <c r="B99" s="6">
        <v>45089</v>
      </c>
      <c r="C99">
        <v>2023</v>
      </c>
      <c r="D99">
        <v>6</v>
      </c>
      <c r="E99">
        <v>12</v>
      </c>
      <c r="F99" t="s">
        <v>206</v>
      </c>
      <c r="G99" t="str">
        <f>VLOOKUP(F99,'Pond name mapping'!B$3:C$91,2,FALSE)</f>
        <v>Cooks</v>
      </c>
      <c r="H99" s="8" t="s">
        <v>189</v>
      </c>
      <c r="I99" t="str">
        <f t="shared" si="1"/>
        <v>Cooks#2023-06-12</v>
      </c>
      <c r="J99" t="s">
        <v>453</v>
      </c>
    </row>
    <row r="100" spans="1:10">
      <c r="A100" t="s">
        <v>454</v>
      </c>
      <c r="B100" s="6">
        <v>45101</v>
      </c>
      <c r="C100">
        <v>2023</v>
      </c>
      <c r="D100">
        <v>6</v>
      </c>
      <c r="E100">
        <v>24</v>
      </c>
      <c r="F100" t="s">
        <v>206</v>
      </c>
      <c r="G100" t="str">
        <f>VLOOKUP(F100,'Pond name mapping'!B$3:C$91,2,FALSE)</f>
        <v>Cooks</v>
      </c>
      <c r="H100" s="8" t="s">
        <v>283</v>
      </c>
      <c r="I100" t="str">
        <f t="shared" si="1"/>
        <v>Cooks#2023-06-24</v>
      </c>
      <c r="J100" t="s">
        <v>455</v>
      </c>
    </row>
    <row r="101" spans="1:10">
      <c r="A101" t="s">
        <v>456</v>
      </c>
      <c r="B101" s="6">
        <v>45117</v>
      </c>
      <c r="C101">
        <v>2023</v>
      </c>
      <c r="D101">
        <v>7</v>
      </c>
      <c r="E101">
        <v>10</v>
      </c>
      <c r="F101" t="s">
        <v>206</v>
      </c>
      <c r="G101" t="str">
        <f>VLOOKUP(F101,'Pond name mapping'!B$3:C$91,2,FALSE)</f>
        <v>Cooks</v>
      </c>
      <c r="H101" s="8" t="s">
        <v>182</v>
      </c>
      <c r="I101" t="str">
        <f t="shared" si="1"/>
        <v>Cooks#2023-07-10</v>
      </c>
      <c r="J101" t="s">
        <v>457</v>
      </c>
    </row>
    <row r="102" spans="1:10">
      <c r="A102" t="s">
        <v>458</v>
      </c>
      <c r="B102" s="6">
        <v>45129</v>
      </c>
      <c r="C102">
        <v>2023</v>
      </c>
      <c r="D102">
        <v>7</v>
      </c>
      <c r="E102">
        <v>22</v>
      </c>
      <c r="F102" t="s">
        <v>206</v>
      </c>
      <c r="G102" t="str">
        <f>VLOOKUP(F102,'Pond name mapping'!B$3:C$91,2,FALSE)</f>
        <v>Cooks</v>
      </c>
      <c r="H102" s="8" t="s">
        <v>183</v>
      </c>
      <c r="I102" t="str">
        <f t="shared" si="1"/>
        <v>Cooks#2023-07-22</v>
      </c>
      <c r="J102" t="s">
        <v>459</v>
      </c>
    </row>
    <row r="103" spans="1:10">
      <c r="A103" t="s">
        <v>460</v>
      </c>
      <c r="B103" s="6">
        <v>45145</v>
      </c>
      <c r="C103">
        <v>2023</v>
      </c>
      <c r="D103">
        <v>8</v>
      </c>
      <c r="E103">
        <v>7</v>
      </c>
      <c r="F103" t="s">
        <v>206</v>
      </c>
      <c r="G103" t="str">
        <f>VLOOKUP(F103,'Pond name mapping'!B$3:C$91,2,FALSE)</f>
        <v>Cooks</v>
      </c>
      <c r="H103" s="8" t="s">
        <v>180</v>
      </c>
      <c r="I103" t="str">
        <f t="shared" si="1"/>
        <v>Cooks#2023-08-07</v>
      </c>
      <c r="J103" t="s">
        <v>461</v>
      </c>
    </row>
    <row r="104" spans="1:10">
      <c r="A104" t="s">
        <v>462</v>
      </c>
      <c r="B104" s="6">
        <v>45157</v>
      </c>
      <c r="C104">
        <v>2023</v>
      </c>
      <c r="D104">
        <v>8</v>
      </c>
      <c r="E104">
        <v>19</v>
      </c>
      <c r="F104" t="s">
        <v>206</v>
      </c>
      <c r="G104" t="str">
        <f>VLOOKUP(F104,'Pond name mapping'!B$3:C$91,2,FALSE)</f>
        <v>Cooks</v>
      </c>
      <c r="H104" s="8" t="s">
        <v>184</v>
      </c>
      <c r="I104" t="str">
        <f t="shared" si="1"/>
        <v>Cooks#2023-08-19</v>
      </c>
      <c r="J104" t="s">
        <v>463</v>
      </c>
    </row>
    <row r="105" spans="1:10">
      <c r="A105" t="s">
        <v>464</v>
      </c>
      <c r="B105" s="6">
        <v>45174</v>
      </c>
      <c r="C105">
        <v>2023</v>
      </c>
      <c r="D105">
        <v>9</v>
      </c>
      <c r="E105">
        <v>5</v>
      </c>
      <c r="F105" t="s">
        <v>206</v>
      </c>
      <c r="G105" t="str">
        <f>VLOOKUP(F105,'Pond name mapping'!B$3:C$91,2,FALSE)</f>
        <v>Cooks</v>
      </c>
      <c r="H105" s="8" t="s">
        <v>185</v>
      </c>
      <c r="I105" t="str">
        <f t="shared" si="1"/>
        <v>Cooks#2023-09-05</v>
      </c>
      <c r="J105" t="s">
        <v>465</v>
      </c>
    </row>
    <row r="106" spans="1:10">
      <c r="A106" t="s">
        <v>466</v>
      </c>
      <c r="B106" s="6">
        <v>45185</v>
      </c>
      <c r="C106">
        <v>2023</v>
      </c>
      <c r="D106">
        <v>9</v>
      </c>
      <c r="E106">
        <v>16</v>
      </c>
      <c r="F106" t="s">
        <v>206</v>
      </c>
      <c r="G106" t="str">
        <f>VLOOKUP(F106,'Pond name mapping'!B$3:C$91,2,FALSE)</f>
        <v>Cooks</v>
      </c>
      <c r="H106" s="8" t="s">
        <v>181</v>
      </c>
      <c r="I106" t="str">
        <f t="shared" si="1"/>
        <v>Cooks#2023-09-16</v>
      </c>
      <c r="J106" t="s">
        <v>467</v>
      </c>
    </row>
    <row r="107" spans="1:10">
      <c r="A107" t="s">
        <v>468</v>
      </c>
      <c r="B107" s="6">
        <v>45213</v>
      </c>
      <c r="C107">
        <v>2023</v>
      </c>
      <c r="D107">
        <v>10</v>
      </c>
      <c r="E107">
        <v>14</v>
      </c>
      <c r="F107" t="s">
        <v>206</v>
      </c>
      <c r="G107" t="str">
        <f>VLOOKUP(F107,'Pond name mapping'!B$3:C$91,2,FALSE)</f>
        <v>Cooks</v>
      </c>
      <c r="H107" s="8" t="s">
        <v>186</v>
      </c>
      <c r="I107" t="str">
        <f t="shared" si="1"/>
        <v>Cooks#2023-10-14</v>
      </c>
      <c r="J107" t="s">
        <v>469</v>
      </c>
    </row>
    <row r="108" spans="1:10">
      <c r="A108" t="s">
        <v>470</v>
      </c>
      <c r="B108" s="6">
        <v>45117</v>
      </c>
      <c r="C108">
        <v>2023</v>
      </c>
      <c r="D108">
        <v>7</v>
      </c>
      <c r="E108">
        <v>10</v>
      </c>
      <c r="F108" t="s">
        <v>206</v>
      </c>
      <c r="G108" t="str">
        <f>VLOOKUP(F108,'Pond name mapping'!B$3:C$91,2,FALSE)</f>
        <v>Cooks</v>
      </c>
      <c r="H108" s="8" t="s">
        <v>182</v>
      </c>
      <c r="I108" t="str">
        <f t="shared" si="1"/>
        <v>Cooks#2023-07-10</v>
      </c>
      <c r="J108" t="s">
        <v>471</v>
      </c>
    </row>
    <row r="109" spans="1:10">
      <c r="A109" t="s">
        <v>472</v>
      </c>
      <c r="B109" s="6">
        <v>45045</v>
      </c>
      <c r="C109">
        <v>2023</v>
      </c>
      <c r="D109">
        <v>4</v>
      </c>
      <c r="E109">
        <v>29</v>
      </c>
      <c r="F109" t="s">
        <v>207</v>
      </c>
      <c r="G109" t="str">
        <f>VLOOKUP(F109,'Pond name mapping'!B$3:C$91,2,FALSE)</f>
        <v>Cooks</v>
      </c>
      <c r="H109" s="8" t="s">
        <v>300</v>
      </c>
      <c r="I109" t="str">
        <f t="shared" si="1"/>
        <v>Cooks#2023-04-29</v>
      </c>
      <c r="J109" t="s">
        <v>473</v>
      </c>
    </row>
    <row r="110" spans="1:10">
      <c r="A110" t="s">
        <v>474</v>
      </c>
      <c r="B110" s="6">
        <v>45446</v>
      </c>
      <c r="C110">
        <v>2024</v>
      </c>
      <c r="D110">
        <v>6</v>
      </c>
      <c r="E110">
        <v>3</v>
      </c>
      <c r="F110" t="s">
        <v>207</v>
      </c>
      <c r="G110" t="str">
        <f>VLOOKUP(F110,'Pond name mapping'!B$3:C$91,2,FALSE)</f>
        <v>Cooks</v>
      </c>
      <c r="H110" s="8" t="s">
        <v>334</v>
      </c>
      <c r="I110" t="str">
        <f t="shared" si="1"/>
        <v>Cooks#2024-06-03</v>
      </c>
      <c r="J110" t="s">
        <v>474</v>
      </c>
    </row>
    <row r="111" spans="1:10">
      <c r="A111" t="s">
        <v>475</v>
      </c>
      <c r="B111" s="6">
        <v>44366</v>
      </c>
      <c r="C111">
        <v>2021</v>
      </c>
      <c r="D111">
        <v>6</v>
      </c>
      <c r="E111">
        <v>19</v>
      </c>
      <c r="F111" t="s">
        <v>207</v>
      </c>
      <c r="G111" t="str">
        <f>VLOOKUP(F111,'Pond name mapping'!B$3:C$91,2,FALSE)</f>
        <v>Cooks</v>
      </c>
      <c r="H111" s="8" t="s">
        <v>303</v>
      </c>
      <c r="I111" t="str">
        <f t="shared" si="1"/>
        <v>Cooks#2021-06-19</v>
      </c>
      <c r="J111" t="s">
        <v>475</v>
      </c>
    </row>
    <row r="112" spans="1:10">
      <c r="A112" t="s">
        <v>476</v>
      </c>
      <c r="B112" s="6">
        <v>44683</v>
      </c>
      <c r="C112">
        <v>2022</v>
      </c>
      <c r="D112">
        <v>5</v>
      </c>
      <c r="E112">
        <v>2</v>
      </c>
      <c r="F112" t="s">
        <v>207</v>
      </c>
      <c r="G112" t="str">
        <f>VLOOKUP(F112,'Pond name mapping'!B$3:C$91,2,FALSE)</f>
        <v>Cooks</v>
      </c>
      <c r="H112" s="8" t="s">
        <v>305</v>
      </c>
      <c r="I112" t="str">
        <f t="shared" si="1"/>
        <v>Cooks#2022-05-02</v>
      </c>
      <c r="J112" t="s">
        <v>476</v>
      </c>
    </row>
    <row r="113" spans="1:10">
      <c r="A113" t="s">
        <v>477</v>
      </c>
      <c r="B113" s="6">
        <v>44702</v>
      </c>
      <c r="C113">
        <v>2022</v>
      </c>
      <c r="D113">
        <v>5</v>
      </c>
      <c r="E113">
        <v>21</v>
      </c>
      <c r="F113" t="s">
        <v>207</v>
      </c>
      <c r="G113" t="str">
        <f>VLOOKUP(F113,'Pond name mapping'!B$3:C$91,2,FALSE)</f>
        <v>Cooks</v>
      </c>
      <c r="H113" s="8" t="s">
        <v>307</v>
      </c>
      <c r="I113" t="str">
        <f t="shared" si="1"/>
        <v>Cooks#2022-05-21</v>
      </c>
      <c r="J113" t="s">
        <v>477</v>
      </c>
    </row>
    <row r="114" spans="1:10">
      <c r="A114" t="s">
        <v>478</v>
      </c>
      <c r="B114" s="6">
        <v>44718</v>
      </c>
      <c r="C114">
        <v>2022</v>
      </c>
      <c r="D114">
        <v>6</v>
      </c>
      <c r="E114">
        <v>6</v>
      </c>
      <c r="F114" t="s">
        <v>207</v>
      </c>
      <c r="G114" t="str">
        <f>VLOOKUP(F114,'Pond name mapping'!B$3:C$91,2,FALSE)</f>
        <v>Cooks</v>
      </c>
      <c r="H114" s="8" t="s">
        <v>309</v>
      </c>
      <c r="I114" t="str">
        <f t="shared" si="1"/>
        <v>Cooks#2022-06-06</v>
      </c>
      <c r="J114" t="s">
        <v>478</v>
      </c>
    </row>
    <row r="115" spans="1:10">
      <c r="A115" t="s">
        <v>479</v>
      </c>
      <c r="B115" s="6">
        <v>44730</v>
      </c>
      <c r="C115">
        <v>2022</v>
      </c>
      <c r="D115">
        <v>6</v>
      </c>
      <c r="E115">
        <v>18</v>
      </c>
      <c r="F115" t="s">
        <v>207</v>
      </c>
      <c r="G115" t="str">
        <f>VLOOKUP(F115,'Pond name mapping'!B$3:C$91,2,FALSE)</f>
        <v>Cooks</v>
      </c>
      <c r="H115" s="8" t="s">
        <v>311</v>
      </c>
      <c r="I115" t="str">
        <f t="shared" si="1"/>
        <v>Cooks#2022-06-18</v>
      </c>
      <c r="J115" t="s">
        <v>479</v>
      </c>
    </row>
    <row r="116" spans="1:10">
      <c r="A116" t="s">
        <v>480</v>
      </c>
      <c r="B116" s="6">
        <v>44747</v>
      </c>
      <c r="C116">
        <v>2022</v>
      </c>
      <c r="D116">
        <v>7</v>
      </c>
      <c r="E116">
        <v>5</v>
      </c>
      <c r="F116" t="s">
        <v>207</v>
      </c>
      <c r="G116" t="str">
        <f>VLOOKUP(F116,'Pond name mapping'!B$3:C$91,2,FALSE)</f>
        <v>Cooks</v>
      </c>
      <c r="H116" s="8" t="s">
        <v>313</v>
      </c>
      <c r="I116" t="str">
        <f t="shared" si="1"/>
        <v>Cooks#2022-07-05</v>
      </c>
      <c r="J116" t="s">
        <v>480</v>
      </c>
    </row>
    <row r="117" spans="1:10">
      <c r="A117" t="s">
        <v>481</v>
      </c>
      <c r="B117" s="6">
        <v>44758</v>
      </c>
      <c r="C117">
        <v>2022</v>
      </c>
      <c r="D117">
        <v>7</v>
      </c>
      <c r="E117">
        <v>16</v>
      </c>
      <c r="F117" t="s">
        <v>207</v>
      </c>
      <c r="G117" t="str">
        <f>VLOOKUP(F117,'Pond name mapping'!B$3:C$91,2,FALSE)</f>
        <v>Cooks</v>
      </c>
      <c r="H117" s="8" t="s">
        <v>315</v>
      </c>
      <c r="I117" t="str">
        <f t="shared" si="1"/>
        <v>Cooks#2022-07-16</v>
      </c>
      <c r="J117" t="s">
        <v>481</v>
      </c>
    </row>
    <row r="118" spans="1:10">
      <c r="A118" t="s">
        <v>482</v>
      </c>
      <c r="B118" s="6">
        <v>44774</v>
      </c>
      <c r="C118">
        <v>2022</v>
      </c>
      <c r="D118">
        <v>8</v>
      </c>
      <c r="E118">
        <v>1</v>
      </c>
      <c r="F118" t="s">
        <v>207</v>
      </c>
      <c r="G118" t="str">
        <f>VLOOKUP(F118,'Pond name mapping'!B$3:C$91,2,FALSE)</f>
        <v>Cooks</v>
      </c>
      <c r="H118" s="8" t="s">
        <v>317</v>
      </c>
      <c r="I118" t="str">
        <f t="shared" si="1"/>
        <v>Cooks#2022-08-01</v>
      </c>
      <c r="J118" t="s">
        <v>482</v>
      </c>
    </row>
    <row r="119" spans="1:10">
      <c r="A119" t="s">
        <v>483</v>
      </c>
      <c r="B119" s="6">
        <v>44800</v>
      </c>
      <c r="C119">
        <v>2022</v>
      </c>
      <c r="D119">
        <v>8</v>
      </c>
      <c r="E119">
        <v>27</v>
      </c>
      <c r="F119" t="s">
        <v>207</v>
      </c>
      <c r="G119" t="str">
        <f>VLOOKUP(F119,'Pond name mapping'!B$3:C$91,2,FALSE)</f>
        <v>Cooks</v>
      </c>
      <c r="H119" s="8" t="s">
        <v>376</v>
      </c>
      <c r="I119" t="str">
        <f t="shared" si="1"/>
        <v>Cooks#2022-08-27</v>
      </c>
      <c r="J119" t="s">
        <v>483</v>
      </c>
    </row>
    <row r="120" spans="1:10">
      <c r="A120" t="s">
        <v>484</v>
      </c>
      <c r="B120" s="6">
        <v>44816</v>
      </c>
      <c r="C120">
        <v>2022</v>
      </c>
      <c r="D120">
        <v>9</v>
      </c>
      <c r="E120">
        <v>12</v>
      </c>
      <c r="F120" t="s">
        <v>207</v>
      </c>
      <c r="G120" t="str">
        <f>VLOOKUP(F120,'Pond name mapping'!B$3:C$91,2,FALSE)</f>
        <v>Cooks</v>
      </c>
      <c r="H120" s="8" t="s">
        <v>320</v>
      </c>
      <c r="I120" t="str">
        <f t="shared" si="1"/>
        <v>Cooks#2022-09-12</v>
      </c>
      <c r="J120" t="s">
        <v>484</v>
      </c>
    </row>
    <row r="121" spans="1:10">
      <c r="A121" t="s">
        <v>485</v>
      </c>
      <c r="B121" s="6">
        <v>44828</v>
      </c>
      <c r="C121">
        <v>2022</v>
      </c>
      <c r="D121">
        <v>9</v>
      </c>
      <c r="E121">
        <v>24</v>
      </c>
      <c r="F121" t="s">
        <v>207</v>
      </c>
      <c r="G121" t="str">
        <f>VLOOKUP(F121,'Pond name mapping'!B$3:C$91,2,FALSE)</f>
        <v>Cooks</v>
      </c>
      <c r="H121" s="8" t="s">
        <v>324</v>
      </c>
      <c r="I121" t="str">
        <f t="shared" si="1"/>
        <v>Cooks#2022-09-24</v>
      </c>
      <c r="J121" t="s">
        <v>485</v>
      </c>
    </row>
    <row r="122" spans="1:10">
      <c r="A122" t="s">
        <v>486</v>
      </c>
      <c r="B122" s="6">
        <v>44837</v>
      </c>
      <c r="C122">
        <v>2022</v>
      </c>
      <c r="D122">
        <v>10</v>
      </c>
      <c r="E122">
        <v>3</v>
      </c>
      <c r="F122" t="s">
        <v>207</v>
      </c>
      <c r="G122" t="str">
        <f>VLOOKUP(F122,'Pond name mapping'!B$3:C$91,2,FALSE)</f>
        <v>Cooks</v>
      </c>
      <c r="H122" s="8" t="s">
        <v>326</v>
      </c>
      <c r="I122" t="str">
        <f t="shared" si="1"/>
        <v>Cooks#2022-10-03</v>
      </c>
      <c r="J122" t="s">
        <v>486</v>
      </c>
    </row>
    <row r="123" spans="1:10">
      <c r="A123" t="s">
        <v>487</v>
      </c>
      <c r="B123" s="6">
        <v>44849</v>
      </c>
      <c r="C123">
        <v>2022</v>
      </c>
      <c r="D123">
        <v>10</v>
      </c>
      <c r="E123">
        <v>15</v>
      </c>
      <c r="F123" t="s">
        <v>207</v>
      </c>
      <c r="G123" t="str">
        <f>VLOOKUP(F123,'Pond name mapping'!B$3:C$91,2,FALSE)</f>
        <v>Cooks</v>
      </c>
      <c r="H123" s="8" t="s">
        <v>379</v>
      </c>
      <c r="I123" t="str">
        <f t="shared" si="1"/>
        <v>Cooks#2022-10-15</v>
      </c>
      <c r="J123" t="s">
        <v>487</v>
      </c>
    </row>
    <row r="124" spans="1:10">
      <c r="A124" t="s">
        <v>488</v>
      </c>
      <c r="B124" s="6">
        <v>44464</v>
      </c>
      <c r="C124">
        <v>2021</v>
      </c>
      <c r="D124">
        <v>9</v>
      </c>
      <c r="E124">
        <v>25</v>
      </c>
      <c r="F124" t="s">
        <v>207</v>
      </c>
      <c r="G124" t="str">
        <f>VLOOKUP(F124,'Pond name mapping'!B$3:C$91,2,FALSE)</f>
        <v>Cooks</v>
      </c>
      <c r="H124" s="8" t="s">
        <v>329</v>
      </c>
      <c r="I124" t="str">
        <f t="shared" si="1"/>
        <v>Cooks#2021-09-25</v>
      </c>
      <c r="J124" t="s">
        <v>488</v>
      </c>
    </row>
    <row r="125" spans="1:10">
      <c r="A125" t="s">
        <v>489</v>
      </c>
      <c r="B125" s="6">
        <v>44485</v>
      </c>
      <c r="C125">
        <v>2021</v>
      </c>
      <c r="D125">
        <v>10</v>
      </c>
      <c r="E125">
        <v>16</v>
      </c>
      <c r="F125" t="s">
        <v>207</v>
      </c>
      <c r="G125" t="str">
        <f>VLOOKUP(F125,'Pond name mapping'!B$3:C$91,2,FALSE)</f>
        <v>Cooks</v>
      </c>
      <c r="H125" s="8" t="s">
        <v>331</v>
      </c>
      <c r="I125" t="str">
        <f t="shared" si="1"/>
        <v>Cooks#2021-10-16</v>
      </c>
      <c r="J125" t="s">
        <v>489</v>
      </c>
    </row>
    <row r="126" spans="1:10">
      <c r="A126" t="s">
        <v>490</v>
      </c>
      <c r="B126" s="6">
        <v>44485</v>
      </c>
      <c r="C126">
        <v>2021</v>
      </c>
      <c r="D126">
        <v>10</v>
      </c>
      <c r="E126">
        <v>16</v>
      </c>
      <c r="F126" t="s">
        <v>207</v>
      </c>
      <c r="G126" t="str">
        <f>VLOOKUP(F126,'Pond name mapping'!B$3:C$91,2,FALSE)</f>
        <v>Cooks</v>
      </c>
      <c r="H126" s="8" t="s">
        <v>331</v>
      </c>
      <c r="I126" t="str">
        <f t="shared" si="1"/>
        <v>Cooks#2021-10-16</v>
      </c>
      <c r="J126" t="s">
        <v>490</v>
      </c>
    </row>
    <row r="127" spans="1:10">
      <c r="A127" t="s">
        <v>491</v>
      </c>
      <c r="B127" s="6">
        <v>45061</v>
      </c>
      <c r="C127">
        <v>2023</v>
      </c>
      <c r="D127">
        <v>5</v>
      </c>
      <c r="E127">
        <v>15</v>
      </c>
      <c r="F127" t="s">
        <v>208</v>
      </c>
      <c r="G127" t="str">
        <f>VLOOKUP(F127,'Pond name mapping'!B$3:C$91,2,FALSE)</f>
        <v>Crystal</v>
      </c>
      <c r="H127" s="8" t="s">
        <v>187</v>
      </c>
      <c r="I127" t="str">
        <f t="shared" si="1"/>
        <v>Crystal#2023-05-15</v>
      </c>
      <c r="J127" t="s">
        <v>492</v>
      </c>
    </row>
    <row r="128" spans="1:10">
      <c r="A128" t="s">
        <v>493</v>
      </c>
      <c r="B128" s="6">
        <v>45073</v>
      </c>
      <c r="C128">
        <v>2023</v>
      </c>
      <c r="D128">
        <v>5</v>
      </c>
      <c r="E128">
        <v>27</v>
      </c>
      <c r="F128" t="s">
        <v>208</v>
      </c>
      <c r="G128" t="str">
        <f>VLOOKUP(F128,'Pond name mapping'!B$3:C$91,2,FALSE)</f>
        <v>Crystal</v>
      </c>
      <c r="H128" s="8" t="s">
        <v>188</v>
      </c>
      <c r="I128" t="str">
        <f t="shared" si="1"/>
        <v>Crystal#2023-05-27</v>
      </c>
      <c r="J128" t="s">
        <v>494</v>
      </c>
    </row>
    <row r="129" spans="1:10">
      <c r="A129" t="s">
        <v>495</v>
      </c>
      <c r="B129" s="6">
        <v>45117</v>
      </c>
      <c r="C129">
        <v>2023</v>
      </c>
      <c r="D129">
        <v>7</v>
      </c>
      <c r="E129">
        <v>10</v>
      </c>
      <c r="F129" t="s">
        <v>208</v>
      </c>
      <c r="G129" t="str">
        <f>VLOOKUP(F129,'Pond name mapping'!B$3:C$91,2,FALSE)</f>
        <v>Crystal</v>
      </c>
      <c r="H129" s="8" t="s">
        <v>182</v>
      </c>
      <c r="I129" t="str">
        <f t="shared" si="1"/>
        <v>Crystal#2023-07-10</v>
      </c>
      <c r="J129" t="s">
        <v>496</v>
      </c>
    </row>
    <row r="130" spans="1:10">
      <c r="A130" t="s">
        <v>497</v>
      </c>
      <c r="B130" s="6">
        <v>45129</v>
      </c>
      <c r="C130">
        <v>2023</v>
      </c>
      <c r="D130">
        <v>7</v>
      </c>
      <c r="E130">
        <v>22</v>
      </c>
      <c r="F130" t="s">
        <v>208</v>
      </c>
      <c r="G130" t="str">
        <f>VLOOKUP(F130,'Pond name mapping'!B$3:C$91,2,FALSE)</f>
        <v>Crystal</v>
      </c>
      <c r="H130" s="8" t="s">
        <v>183</v>
      </c>
      <c r="I130" t="str">
        <f t="shared" si="1"/>
        <v>Crystal#2023-07-22</v>
      </c>
      <c r="J130" t="s">
        <v>498</v>
      </c>
    </row>
    <row r="131" spans="1:10">
      <c r="A131" t="s">
        <v>499</v>
      </c>
      <c r="B131" s="6">
        <v>45129</v>
      </c>
      <c r="C131">
        <v>2023</v>
      </c>
      <c r="D131">
        <v>7</v>
      </c>
      <c r="E131">
        <v>22</v>
      </c>
      <c r="F131" t="s">
        <v>208</v>
      </c>
      <c r="G131" t="str">
        <f>VLOOKUP(F131,'Pond name mapping'!B$3:C$91,2,FALSE)</f>
        <v>Crystal</v>
      </c>
      <c r="H131" s="8" t="s">
        <v>183</v>
      </c>
      <c r="I131" t="str">
        <f t="shared" si="1"/>
        <v>Crystal#2023-07-22</v>
      </c>
      <c r="J131" t="s">
        <v>500</v>
      </c>
    </row>
    <row r="132" spans="1:10">
      <c r="A132" t="s">
        <v>501</v>
      </c>
      <c r="B132" s="6">
        <v>45145</v>
      </c>
      <c r="C132">
        <v>2023</v>
      </c>
      <c r="D132">
        <v>8</v>
      </c>
      <c r="E132">
        <v>7</v>
      </c>
      <c r="F132" t="s">
        <v>208</v>
      </c>
      <c r="G132" t="str">
        <f>VLOOKUP(F132,'Pond name mapping'!B$3:C$91,2,FALSE)</f>
        <v>Crystal</v>
      </c>
      <c r="H132" s="8" t="s">
        <v>180</v>
      </c>
      <c r="I132" t="str">
        <f t="shared" si="1"/>
        <v>Crystal#2023-08-07</v>
      </c>
      <c r="J132" t="s">
        <v>502</v>
      </c>
    </row>
    <row r="133" spans="1:10">
      <c r="A133" t="s">
        <v>503</v>
      </c>
      <c r="B133" s="6">
        <v>45174</v>
      </c>
      <c r="C133">
        <v>2023</v>
      </c>
      <c r="D133">
        <v>9</v>
      </c>
      <c r="E133">
        <v>5</v>
      </c>
      <c r="F133" t="s">
        <v>208</v>
      </c>
      <c r="G133" t="str">
        <f>VLOOKUP(F133,'Pond name mapping'!B$3:C$91,2,FALSE)</f>
        <v>Crystal</v>
      </c>
      <c r="H133" s="8" t="s">
        <v>185</v>
      </c>
      <c r="I133" t="str">
        <f t="shared" ref="I133:I196" si="2">CONCATENATE(G133,"#",H133)</f>
        <v>Crystal#2023-09-05</v>
      </c>
      <c r="J133" t="s">
        <v>504</v>
      </c>
    </row>
    <row r="134" spans="1:10">
      <c r="A134" t="s">
        <v>505</v>
      </c>
      <c r="B134" s="6">
        <v>45174</v>
      </c>
      <c r="C134">
        <v>2023</v>
      </c>
      <c r="D134">
        <v>9</v>
      </c>
      <c r="E134">
        <v>5</v>
      </c>
      <c r="F134" t="s">
        <v>208</v>
      </c>
      <c r="G134" t="str">
        <f>VLOOKUP(F134,'Pond name mapping'!B$3:C$91,2,FALSE)</f>
        <v>Crystal</v>
      </c>
      <c r="H134" s="8" t="s">
        <v>185</v>
      </c>
      <c r="I134" t="str">
        <f t="shared" si="2"/>
        <v>Crystal#2023-09-05</v>
      </c>
      <c r="J134" t="s">
        <v>506</v>
      </c>
    </row>
    <row r="135" spans="1:10">
      <c r="A135" t="s">
        <v>507</v>
      </c>
      <c r="B135" s="6">
        <v>45185</v>
      </c>
      <c r="C135">
        <v>2023</v>
      </c>
      <c r="D135">
        <v>9</v>
      </c>
      <c r="E135">
        <v>16</v>
      </c>
      <c r="F135" t="s">
        <v>208</v>
      </c>
      <c r="G135" t="str">
        <f>VLOOKUP(F135,'Pond name mapping'!B$3:C$91,2,FALSE)</f>
        <v>Crystal</v>
      </c>
      <c r="H135" s="8" t="s">
        <v>181</v>
      </c>
      <c r="I135" t="str">
        <f t="shared" si="2"/>
        <v>Crystal#2023-09-16</v>
      </c>
      <c r="J135" t="s">
        <v>508</v>
      </c>
    </row>
    <row r="136" spans="1:10">
      <c r="A136" t="s">
        <v>509</v>
      </c>
      <c r="B136" s="6">
        <v>45185</v>
      </c>
      <c r="C136">
        <v>2023</v>
      </c>
      <c r="D136">
        <v>9</v>
      </c>
      <c r="E136">
        <v>16</v>
      </c>
      <c r="F136" t="s">
        <v>208</v>
      </c>
      <c r="G136" t="str">
        <f>VLOOKUP(F136,'Pond name mapping'!B$3:C$91,2,FALSE)</f>
        <v>Crystal</v>
      </c>
      <c r="H136" s="8" t="s">
        <v>181</v>
      </c>
      <c r="I136" t="str">
        <f t="shared" si="2"/>
        <v>Crystal#2023-09-16</v>
      </c>
      <c r="J136" t="s">
        <v>510</v>
      </c>
    </row>
    <row r="137" spans="1:10">
      <c r="A137" t="s">
        <v>511</v>
      </c>
      <c r="B137" s="6">
        <v>45201</v>
      </c>
      <c r="C137">
        <v>2023</v>
      </c>
      <c r="D137">
        <v>10</v>
      </c>
      <c r="E137">
        <v>2</v>
      </c>
      <c r="F137" t="s">
        <v>208</v>
      </c>
      <c r="G137" t="str">
        <f>VLOOKUP(F137,'Pond name mapping'!B$3:C$91,2,FALSE)</f>
        <v>Crystal</v>
      </c>
      <c r="H137" s="8" t="s">
        <v>190</v>
      </c>
      <c r="I137" t="str">
        <f t="shared" si="2"/>
        <v>Crystal#2023-10-02</v>
      </c>
      <c r="J137" t="s">
        <v>512</v>
      </c>
    </row>
    <row r="138" spans="1:10">
      <c r="A138" t="s">
        <v>513</v>
      </c>
      <c r="B138" s="6">
        <v>45045</v>
      </c>
      <c r="C138">
        <v>2023</v>
      </c>
      <c r="D138">
        <v>4</v>
      </c>
      <c r="E138">
        <v>29</v>
      </c>
      <c r="F138" t="s">
        <v>28</v>
      </c>
      <c r="G138" t="str">
        <f>VLOOKUP(F138,'Pond name mapping'!B$3:C$91,2,FALSE)</f>
        <v>Crystal</v>
      </c>
      <c r="H138" s="8" t="s">
        <v>300</v>
      </c>
      <c r="I138" t="str">
        <f t="shared" si="2"/>
        <v>Crystal#2023-04-29</v>
      </c>
      <c r="J138" t="s">
        <v>514</v>
      </c>
    </row>
    <row r="139" spans="1:10">
      <c r="A139" t="s">
        <v>515</v>
      </c>
      <c r="B139" s="6">
        <v>45446</v>
      </c>
      <c r="C139">
        <v>2024</v>
      </c>
      <c r="D139">
        <v>6</v>
      </c>
      <c r="E139">
        <v>3</v>
      </c>
      <c r="F139" t="s">
        <v>28</v>
      </c>
      <c r="G139" t="str">
        <f>VLOOKUP(F139,'Pond name mapping'!B$3:C$91,2,FALSE)</f>
        <v>Crystal</v>
      </c>
      <c r="H139" s="8" t="s">
        <v>334</v>
      </c>
      <c r="I139" t="str">
        <f t="shared" si="2"/>
        <v>Crystal#2024-06-03</v>
      </c>
      <c r="J139" t="s">
        <v>516</v>
      </c>
    </row>
    <row r="140" spans="1:10">
      <c r="A140" t="s">
        <v>517</v>
      </c>
      <c r="B140" s="6">
        <v>45089</v>
      </c>
      <c r="C140">
        <v>2023</v>
      </c>
      <c r="D140">
        <v>6</v>
      </c>
      <c r="E140">
        <v>12</v>
      </c>
      <c r="F140" t="s">
        <v>28</v>
      </c>
      <c r="G140" t="str">
        <f>VLOOKUP(F140,'Pond name mapping'!B$3:C$91,2,FALSE)</f>
        <v>Crystal</v>
      </c>
      <c r="H140" s="8" t="s">
        <v>189</v>
      </c>
      <c r="I140" t="str">
        <f t="shared" si="2"/>
        <v>Crystal#2023-06-12</v>
      </c>
      <c r="J140" t="s">
        <v>518</v>
      </c>
    </row>
    <row r="141" spans="1:10">
      <c r="A141" t="s">
        <v>519</v>
      </c>
      <c r="B141" s="6">
        <v>45101</v>
      </c>
      <c r="C141">
        <v>2023</v>
      </c>
      <c r="D141">
        <v>6</v>
      </c>
      <c r="E141">
        <v>24</v>
      </c>
      <c r="F141" t="s">
        <v>28</v>
      </c>
      <c r="G141" t="str">
        <f>VLOOKUP(F141,'Pond name mapping'!B$3:C$91,2,FALSE)</f>
        <v>Crystal</v>
      </c>
      <c r="H141" s="8" t="s">
        <v>283</v>
      </c>
      <c r="I141" t="str">
        <f t="shared" si="2"/>
        <v>Crystal#2023-06-24</v>
      </c>
      <c r="J141" t="s">
        <v>520</v>
      </c>
    </row>
    <row r="142" spans="1:10">
      <c r="A142" t="s">
        <v>521</v>
      </c>
      <c r="B142" s="6">
        <v>44464</v>
      </c>
      <c r="C142">
        <v>2021</v>
      </c>
      <c r="D142">
        <v>9</v>
      </c>
      <c r="E142">
        <v>25</v>
      </c>
      <c r="F142" t="s">
        <v>28</v>
      </c>
      <c r="G142" t="str">
        <f>VLOOKUP(F142,'Pond name mapping'!B$3:C$91,2,FALSE)</f>
        <v>Crystal</v>
      </c>
      <c r="H142" s="8" t="s">
        <v>329</v>
      </c>
      <c r="I142" t="str">
        <f t="shared" si="2"/>
        <v>Crystal#2021-09-25</v>
      </c>
      <c r="J142" t="s">
        <v>521</v>
      </c>
    </row>
    <row r="143" spans="1:10">
      <c r="A143" t="s">
        <v>522</v>
      </c>
      <c r="B143" s="6">
        <v>44464</v>
      </c>
      <c r="C143">
        <v>2021</v>
      </c>
      <c r="D143">
        <v>9</v>
      </c>
      <c r="E143">
        <v>25</v>
      </c>
      <c r="F143" t="s">
        <v>28</v>
      </c>
      <c r="G143" t="str">
        <f>VLOOKUP(F143,'Pond name mapping'!B$3:C$91,2,FALSE)</f>
        <v>Crystal</v>
      </c>
      <c r="H143" s="8" t="s">
        <v>329</v>
      </c>
      <c r="I143" t="str">
        <f t="shared" si="2"/>
        <v>Crystal#2021-09-25</v>
      </c>
      <c r="J143" t="s">
        <v>522</v>
      </c>
    </row>
    <row r="144" spans="1:10">
      <c r="A144" t="s">
        <v>523</v>
      </c>
      <c r="B144" s="6">
        <v>44366</v>
      </c>
      <c r="C144">
        <v>2021</v>
      </c>
      <c r="D144">
        <v>6</v>
      </c>
      <c r="E144">
        <v>19</v>
      </c>
      <c r="F144" t="s">
        <v>30</v>
      </c>
      <c r="G144" t="str">
        <f>VLOOKUP(F144,'Pond name mapping'!B$3:C$91,2,FALSE)</f>
        <v>Curtis</v>
      </c>
      <c r="H144" s="8" t="s">
        <v>303</v>
      </c>
      <c r="I144" t="str">
        <f t="shared" si="2"/>
        <v>Curtis#2021-06-19</v>
      </c>
      <c r="J144" t="s">
        <v>523</v>
      </c>
    </row>
    <row r="145" spans="1:10">
      <c r="A145" t="s">
        <v>524</v>
      </c>
      <c r="B145" s="6">
        <v>44464</v>
      </c>
      <c r="C145">
        <v>2021</v>
      </c>
      <c r="D145">
        <v>9</v>
      </c>
      <c r="E145">
        <v>25</v>
      </c>
      <c r="F145" t="s">
        <v>30</v>
      </c>
      <c r="G145" t="str">
        <f>VLOOKUP(F145,'Pond name mapping'!B$3:C$91,2,FALSE)</f>
        <v>Curtis</v>
      </c>
      <c r="H145" s="8" t="s">
        <v>329</v>
      </c>
      <c r="I145" t="str">
        <f t="shared" si="2"/>
        <v>Curtis#2021-09-25</v>
      </c>
      <c r="J145" t="s">
        <v>524</v>
      </c>
    </row>
    <row r="146" spans="1:10">
      <c r="A146" t="s">
        <v>525</v>
      </c>
      <c r="B146" s="6">
        <v>44485</v>
      </c>
      <c r="C146">
        <v>2021</v>
      </c>
      <c r="D146">
        <v>10</v>
      </c>
      <c r="E146">
        <v>16</v>
      </c>
      <c r="F146" t="s">
        <v>30</v>
      </c>
      <c r="G146" t="str">
        <f>VLOOKUP(F146,'Pond name mapping'!B$3:C$91,2,FALSE)</f>
        <v>Curtis</v>
      </c>
      <c r="H146" s="8" t="s">
        <v>331</v>
      </c>
      <c r="I146" t="str">
        <f t="shared" si="2"/>
        <v>Curtis#2021-10-16</v>
      </c>
      <c r="J146" t="s">
        <v>525</v>
      </c>
    </row>
    <row r="147" spans="1:10">
      <c r="A147" t="s">
        <v>526</v>
      </c>
      <c r="B147" s="6">
        <v>44485</v>
      </c>
      <c r="C147">
        <v>2021</v>
      </c>
      <c r="D147">
        <v>10</v>
      </c>
      <c r="E147">
        <v>16</v>
      </c>
      <c r="F147" t="s">
        <v>30</v>
      </c>
      <c r="G147" t="str">
        <f>VLOOKUP(F147,'Pond name mapping'!B$3:C$91,2,FALSE)</f>
        <v>Curtis</v>
      </c>
      <c r="H147" s="8" t="s">
        <v>331</v>
      </c>
      <c r="I147" t="str">
        <f t="shared" si="2"/>
        <v>Curtis#2021-10-16</v>
      </c>
      <c r="J147" t="s">
        <v>526</v>
      </c>
    </row>
    <row r="148" spans="1:10">
      <c r="A148" t="s">
        <v>527</v>
      </c>
      <c r="B148" s="6">
        <v>44747</v>
      </c>
      <c r="C148">
        <v>2022</v>
      </c>
      <c r="D148">
        <v>7</v>
      </c>
      <c r="E148">
        <v>5</v>
      </c>
      <c r="F148" t="s">
        <v>209</v>
      </c>
      <c r="G148" t="str">
        <f>VLOOKUP(F148,'Pond name mapping'!B$3:C$91,2,FALSE)</f>
        <v>Dark.Brook</v>
      </c>
      <c r="H148" s="8" t="s">
        <v>313</v>
      </c>
      <c r="I148" t="str">
        <f t="shared" si="2"/>
        <v>Dark.Brook#2022-07-05</v>
      </c>
      <c r="J148" t="s">
        <v>528</v>
      </c>
    </row>
    <row r="149" spans="1:10">
      <c r="A149" t="s">
        <v>529</v>
      </c>
      <c r="B149" s="6">
        <v>44774</v>
      </c>
      <c r="C149">
        <v>2022</v>
      </c>
      <c r="D149">
        <v>8</v>
      </c>
      <c r="E149">
        <v>1</v>
      </c>
      <c r="F149" t="s">
        <v>209</v>
      </c>
      <c r="G149" t="str">
        <f>VLOOKUP(F149,'Pond name mapping'!B$3:C$91,2,FALSE)</f>
        <v>Dark.Brook</v>
      </c>
      <c r="H149" s="8" t="s">
        <v>317</v>
      </c>
      <c r="I149" t="str">
        <f t="shared" si="2"/>
        <v>Dark.Brook#2022-08-01</v>
      </c>
      <c r="J149" t="s">
        <v>530</v>
      </c>
    </row>
    <row r="150" spans="1:10">
      <c r="A150" t="s">
        <v>531</v>
      </c>
      <c r="B150" s="6">
        <v>44816</v>
      </c>
      <c r="C150">
        <v>2022</v>
      </c>
      <c r="D150">
        <v>9</v>
      </c>
      <c r="E150">
        <v>12</v>
      </c>
      <c r="F150" t="s">
        <v>209</v>
      </c>
      <c r="G150" t="str">
        <f>VLOOKUP(F150,'Pond name mapping'!B$3:C$91,2,FALSE)</f>
        <v>Dark.Brook</v>
      </c>
      <c r="H150" s="8" t="s">
        <v>320</v>
      </c>
      <c r="I150" t="str">
        <f t="shared" si="2"/>
        <v>Dark.Brook#2022-09-12</v>
      </c>
      <c r="J150" t="s">
        <v>532</v>
      </c>
    </row>
    <row r="151" spans="1:10">
      <c r="A151" t="s">
        <v>533</v>
      </c>
      <c r="B151" s="6">
        <v>44816</v>
      </c>
      <c r="C151">
        <v>2022</v>
      </c>
      <c r="D151">
        <v>9</v>
      </c>
      <c r="E151">
        <v>12</v>
      </c>
      <c r="F151" t="s">
        <v>209</v>
      </c>
      <c r="G151" t="str">
        <f>VLOOKUP(F151,'Pond name mapping'!B$3:C$91,2,FALSE)</f>
        <v>Dark.Brook</v>
      </c>
      <c r="H151" s="8" t="s">
        <v>320</v>
      </c>
      <c r="I151" t="str">
        <f t="shared" si="2"/>
        <v>Dark.Brook#2022-09-12</v>
      </c>
      <c r="J151" t="s">
        <v>534</v>
      </c>
    </row>
    <row r="152" spans="1:10">
      <c r="A152" t="s">
        <v>535</v>
      </c>
      <c r="B152" s="6">
        <v>44683</v>
      </c>
      <c r="C152">
        <v>2022</v>
      </c>
      <c r="D152">
        <v>5</v>
      </c>
      <c r="E152">
        <v>2</v>
      </c>
      <c r="F152" t="s">
        <v>209</v>
      </c>
      <c r="G152" t="str">
        <f>VLOOKUP(F152,'Pond name mapping'!B$3:C$91,2,FALSE)</f>
        <v>Dark.Brook</v>
      </c>
      <c r="H152" s="8" t="s">
        <v>305</v>
      </c>
      <c r="I152" t="str">
        <f t="shared" si="2"/>
        <v>Dark.Brook#2022-05-02</v>
      </c>
      <c r="J152" t="s">
        <v>535</v>
      </c>
    </row>
    <row r="153" spans="1:10">
      <c r="A153" t="s">
        <v>536</v>
      </c>
      <c r="B153" s="6">
        <v>44718</v>
      </c>
      <c r="C153">
        <v>2022</v>
      </c>
      <c r="D153">
        <v>6</v>
      </c>
      <c r="E153">
        <v>6</v>
      </c>
      <c r="F153" t="s">
        <v>209</v>
      </c>
      <c r="G153" t="str">
        <f>VLOOKUP(F153,'Pond name mapping'!B$3:C$91,2,FALSE)</f>
        <v>Dark.Brook</v>
      </c>
      <c r="H153" s="8" t="s">
        <v>309</v>
      </c>
      <c r="I153" t="str">
        <f t="shared" si="2"/>
        <v>Dark.Brook#2022-06-06</v>
      </c>
      <c r="J153" t="s">
        <v>536</v>
      </c>
    </row>
    <row r="154" spans="1:10">
      <c r="A154" t="s">
        <v>537</v>
      </c>
      <c r="B154" s="6">
        <v>44758</v>
      </c>
      <c r="C154">
        <v>2022</v>
      </c>
      <c r="D154">
        <v>7</v>
      </c>
      <c r="E154">
        <v>16</v>
      </c>
      <c r="F154" t="s">
        <v>209</v>
      </c>
      <c r="G154" t="str">
        <f>VLOOKUP(F154,'Pond name mapping'!B$3:C$91,2,FALSE)</f>
        <v>Dark.Brook</v>
      </c>
      <c r="H154" s="8" t="s">
        <v>315</v>
      </c>
      <c r="I154" t="str">
        <f t="shared" si="2"/>
        <v>Dark.Brook#2022-07-16</v>
      </c>
      <c r="J154" t="s">
        <v>537</v>
      </c>
    </row>
    <row r="155" spans="1:10">
      <c r="A155" t="s">
        <v>538</v>
      </c>
      <c r="B155" s="6">
        <v>44849</v>
      </c>
      <c r="C155">
        <v>2022</v>
      </c>
      <c r="D155">
        <v>10</v>
      </c>
      <c r="E155">
        <v>15</v>
      </c>
      <c r="F155" t="s">
        <v>209</v>
      </c>
      <c r="G155" t="str">
        <f>VLOOKUP(F155,'Pond name mapping'!B$3:C$91,2,FALSE)</f>
        <v>Dark.Brook</v>
      </c>
      <c r="H155" s="8" t="s">
        <v>379</v>
      </c>
      <c r="I155" t="str">
        <f t="shared" si="2"/>
        <v>Dark.Brook#2022-10-15</v>
      </c>
      <c r="J155" t="s">
        <v>538</v>
      </c>
    </row>
    <row r="156" spans="1:10">
      <c r="A156" t="s">
        <v>539</v>
      </c>
      <c r="B156" s="6">
        <v>45061</v>
      </c>
      <c r="C156">
        <v>2023</v>
      </c>
      <c r="D156">
        <v>5</v>
      </c>
      <c r="E156">
        <v>15</v>
      </c>
      <c r="F156" t="s">
        <v>210</v>
      </c>
      <c r="G156" t="str">
        <f>VLOOKUP(F156,'Pond name mapping'!B$3:C$91,2,FALSE)</f>
        <v>Waushacum</v>
      </c>
      <c r="H156" s="8" t="s">
        <v>187</v>
      </c>
      <c r="I156" t="str">
        <f t="shared" si="2"/>
        <v>Waushacum#2023-05-15</v>
      </c>
      <c r="J156" t="s">
        <v>540</v>
      </c>
    </row>
    <row r="157" spans="1:10">
      <c r="A157" t="s">
        <v>541</v>
      </c>
      <c r="B157" s="6">
        <v>45201</v>
      </c>
      <c r="C157">
        <v>2023</v>
      </c>
      <c r="D157">
        <v>10</v>
      </c>
      <c r="E157">
        <v>2</v>
      </c>
      <c r="F157" t="s">
        <v>212</v>
      </c>
      <c r="G157" t="str">
        <f>VLOOKUP(F157,'Pond name mapping'!B$3:C$91,2,FALSE)</f>
        <v>Ecotarium</v>
      </c>
      <c r="H157" s="8" t="s">
        <v>190</v>
      </c>
      <c r="I157" t="str">
        <f t="shared" si="2"/>
        <v>Ecotarium#2023-10-02</v>
      </c>
      <c r="J157" t="s">
        <v>542</v>
      </c>
    </row>
    <row r="158" spans="1:10">
      <c r="A158" t="s">
        <v>543</v>
      </c>
      <c r="B158" s="6">
        <v>45213</v>
      </c>
      <c r="C158">
        <v>2023</v>
      </c>
      <c r="D158">
        <v>10</v>
      </c>
      <c r="E158">
        <v>14</v>
      </c>
      <c r="F158" t="s">
        <v>212</v>
      </c>
      <c r="G158" t="str">
        <f>VLOOKUP(F158,'Pond name mapping'!B$3:C$91,2,FALSE)</f>
        <v>Ecotarium</v>
      </c>
      <c r="H158" s="8" t="s">
        <v>186</v>
      </c>
      <c r="I158" t="str">
        <f t="shared" si="2"/>
        <v>Ecotarium#2023-10-14</v>
      </c>
      <c r="J158" t="s">
        <v>544</v>
      </c>
    </row>
    <row r="159" spans="1:10">
      <c r="A159" t="s">
        <v>545</v>
      </c>
      <c r="B159" s="6">
        <v>45061</v>
      </c>
      <c r="C159">
        <v>2023</v>
      </c>
      <c r="D159">
        <v>5</v>
      </c>
      <c r="E159">
        <v>15</v>
      </c>
      <c r="F159" t="s">
        <v>36</v>
      </c>
      <c r="G159" t="str">
        <f>VLOOKUP(F159,'Pond name mapping'!B$3:C$91,2,FALSE)</f>
        <v>Ecotarium</v>
      </c>
      <c r="H159" s="8" t="s">
        <v>187</v>
      </c>
      <c r="I159" t="str">
        <f t="shared" si="2"/>
        <v>Ecotarium#2023-05-15</v>
      </c>
      <c r="J159" t="s">
        <v>546</v>
      </c>
    </row>
    <row r="160" spans="1:10">
      <c r="A160" t="s">
        <v>547</v>
      </c>
      <c r="B160" s="6">
        <v>45073</v>
      </c>
      <c r="C160">
        <v>2023</v>
      </c>
      <c r="D160">
        <v>5</v>
      </c>
      <c r="E160">
        <v>27</v>
      </c>
      <c r="F160" t="s">
        <v>36</v>
      </c>
      <c r="G160" t="str">
        <f>VLOOKUP(F160,'Pond name mapping'!B$3:C$91,2,FALSE)</f>
        <v>Ecotarium</v>
      </c>
      <c r="H160" s="8" t="s">
        <v>188</v>
      </c>
      <c r="I160" t="str">
        <f t="shared" si="2"/>
        <v>Ecotarium#2023-05-27</v>
      </c>
      <c r="J160" t="s">
        <v>548</v>
      </c>
    </row>
    <row r="161" spans="1:10">
      <c r="A161" t="s">
        <v>549</v>
      </c>
      <c r="B161" s="6">
        <v>45446</v>
      </c>
      <c r="C161">
        <v>2024</v>
      </c>
      <c r="D161">
        <v>6</v>
      </c>
      <c r="E161">
        <v>3</v>
      </c>
      <c r="F161" t="s">
        <v>36</v>
      </c>
      <c r="G161" t="str">
        <f>VLOOKUP(F161,'Pond name mapping'!B$3:C$91,2,FALSE)</f>
        <v>Ecotarium</v>
      </c>
      <c r="H161" s="8" t="s">
        <v>334</v>
      </c>
      <c r="I161" t="str">
        <f t="shared" si="2"/>
        <v>Ecotarium#2024-06-03</v>
      </c>
      <c r="J161" t="s">
        <v>550</v>
      </c>
    </row>
    <row r="162" spans="1:10">
      <c r="A162" t="s">
        <v>551</v>
      </c>
      <c r="B162" s="6">
        <v>45089</v>
      </c>
      <c r="C162">
        <v>2023</v>
      </c>
      <c r="D162">
        <v>6</v>
      </c>
      <c r="E162">
        <v>12</v>
      </c>
      <c r="F162" t="s">
        <v>36</v>
      </c>
      <c r="G162" t="str">
        <f>VLOOKUP(F162,'Pond name mapping'!B$3:C$91,2,FALSE)</f>
        <v>Ecotarium</v>
      </c>
      <c r="H162" s="8" t="s">
        <v>189</v>
      </c>
      <c r="I162" t="str">
        <f t="shared" si="2"/>
        <v>Ecotarium#2023-06-12</v>
      </c>
      <c r="J162" t="s">
        <v>552</v>
      </c>
    </row>
    <row r="163" spans="1:10">
      <c r="A163" t="s">
        <v>553</v>
      </c>
      <c r="B163" s="6">
        <v>45101</v>
      </c>
      <c r="C163">
        <v>2023</v>
      </c>
      <c r="D163">
        <v>6</v>
      </c>
      <c r="E163">
        <v>24</v>
      </c>
      <c r="F163" t="s">
        <v>36</v>
      </c>
      <c r="G163" t="str">
        <f>VLOOKUP(F163,'Pond name mapping'!B$3:C$91,2,FALSE)</f>
        <v>Ecotarium</v>
      </c>
      <c r="H163" s="8" t="s">
        <v>283</v>
      </c>
      <c r="I163" t="str">
        <f t="shared" si="2"/>
        <v>Ecotarium#2023-06-24</v>
      </c>
      <c r="J163" t="s">
        <v>554</v>
      </c>
    </row>
    <row r="164" spans="1:10">
      <c r="A164" t="s">
        <v>555</v>
      </c>
      <c r="B164" s="6">
        <v>45117</v>
      </c>
      <c r="C164">
        <v>2023</v>
      </c>
      <c r="D164">
        <v>7</v>
      </c>
      <c r="E164">
        <v>10</v>
      </c>
      <c r="F164" t="s">
        <v>36</v>
      </c>
      <c r="G164" t="str">
        <f>VLOOKUP(F164,'Pond name mapping'!B$3:C$91,2,FALSE)</f>
        <v>Ecotarium</v>
      </c>
      <c r="H164" s="8" t="s">
        <v>182</v>
      </c>
      <c r="I164" t="str">
        <f t="shared" si="2"/>
        <v>Ecotarium#2023-07-10</v>
      </c>
      <c r="J164" t="s">
        <v>556</v>
      </c>
    </row>
    <row r="165" spans="1:10">
      <c r="A165" t="s">
        <v>557</v>
      </c>
      <c r="B165" s="6">
        <v>45129</v>
      </c>
      <c r="C165">
        <v>2023</v>
      </c>
      <c r="D165">
        <v>7</v>
      </c>
      <c r="E165">
        <v>22</v>
      </c>
      <c r="F165" t="s">
        <v>36</v>
      </c>
      <c r="G165" t="str">
        <f>VLOOKUP(F165,'Pond name mapping'!B$3:C$91,2,FALSE)</f>
        <v>Ecotarium</v>
      </c>
      <c r="H165" s="8" t="s">
        <v>183</v>
      </c>
      <c r="I165" t="str">
        <f t="shared" si="2"/>
        <v>Ecotarium#2023-07-22</v>
      </c>
      <c r="J165" t="s">
        <v>558</v>
      </c>
    </row>
    <row r="166" spans="1:10">
      <c r="A166" t="s">
        <v>559</v>
      </c>
      <c r="B166" s="6">
        <v>45145</v>
      </c>
      <c r="C166">
        <v>2023</v>
      </c>
      <c r="D166">
        <v>8</v>
      </c>
      <c r="E166">
        <v>7</v>
      </c>
      <c r="F166" t="s">
        <v>36</v>
      </c>
      <c r="G166" t="str">
        <f>VLOOKUP(F166,'Pond name mapping'!B$3:C$91,2,FALSE)</f>
        <v>Ecotarium</v>
      </c>
      <c r="H166" s="8" t="s">
        <v>180</v>
      </c>
      <c r="I166" t="str">
        <f t="shared" si="2"/>
        <v>Ecotarium#2023-08-07</v>
      </c>
      <c r="J166" t="s">
        <v>560</v>
      </c>
    </row>
    <row r="167" spans="1:10">
      <c r="A167" t="s">
        <v>561</v>
      </c>
      <c r="B167" s="6">
        <v>45157</v>
      </c>
      <c r="C167">
        <v>2023</v>
      </c>
      <c r="D167">
        <v>8</v>
      </c>
      <c r="E167">
        <v>19</v>
      </c>
      <c r="F167" t="s">
        <v>36</v>
      </c>
      <c r="G167" t="str">
        <f>VLOOKUP(F167,'Pond name mapping'!B$3:C$91,2,FALSE)</f>
        <v>Ecotarium</v>
      </c>
      <c r="H167" s="8" t="s">
        <v>184</v>
      </c>
      <c r="I167" t="str">
        <f t="shared" si="2"/>
        <v>Ecotarium#2023-08-19</v>
      </c>
      <c r="J167" t="s">
        <v>562</v>
      </c>
    </row>
    <row r="168" spans="1:10">
      <c r="A168" t="s">
        <v>563</v>
      </c>
      <c r="B168" s="6">
        <v>45157</v>
      </c>
      <c r="C168">
        <v>2023</v>
      </c>
      <c r="D168">
        <v>8</v>
      </c>
      <c r="E168">
        <v>19</v>
      </c>
      <c r="F168" t="s">
        <v>36</v>
      </c>
      <c r="G168" t="str">
        <f>VLOOKUP(F168,'Pond name mapping'!B$3:C$91,2,FALSE)</f>
        <v>Ecotarium</v>
      </c>
      <c r="H168" s="8" t="s">
        <v>184</v>
      </c>
      <c r="I168" t="str">
        <f t="shared" si="2"/>
        <v>Ecotarium#2023-08-19</v>
      </c>
      <c r="J168" t="s">
        <v>564</v>
      </c>
    </row>
    <row r="169" spans="1:10">
      <c r="A169" t="s">
        <v>565</v>
      </c>
      <c r="B169" s="6">
        <v>45157</v>
      </c>
      <c r="C169">
        <v>2023</v>
      </c>
      <c r="D169">
        <v>8</v>
      </c>
      <c r="E169">
        <v>19</v>
      </c>
      <c r="F169" t="s">
        <v>36</v>
      </c>
      <c r="G169" t="str">
        <f>VLOOKUP(F169,'Pond name mapping'!B$3:C$91,2,FALSE)</f>
        <v>Ecotarium</v>
      </c>
      <c r="H169" s="8" t="s">
        <v>184</v>
      </c>
      <c r="I169" t="str">
        <f t="shared" si="2"/>
        <v>Ecotarium#2023-08-19</v>
      </c>
      <c r="J169" t="s">
        <v>566</v>
      </c>
    </row>
    <row r="170" spans="1:10">
      <c r="A170" t="s">
        <v>567</v>
      </c>
      <c r="B170" s="6">
        <v>45174</v>
      </c>
      <c r="C170">
        <v>2023</v>
      </c>
      <c r="D170">
        <v>9</v>
      </c>
      <c r="E170">
        <v>5</v>
      </c>
      <c r="F170" t="s">
        <v>36</v>
      </c>
      <c r="G170" t="str">
        <f>VLOOKUP(F170,'Pond name mapping'!B$3:C$91,2,FALSE)</f>
        <v>Ecotarium</v>
      </c>
      <c r="H170" s="8" t="s">
        <v>185</v>
      </c>
      <c r="I170" t="str">
        <f t="shared" si="2"/>
        <v>Ecotarium#2023-09-05</v>
      </c>
      <c r="J170" t="s">
        <v>568</v>
      </c>
    </row>
    <row r="171" spans="1:10">
      <c r="A171" t="s">
        <v>569</v>
      </c>
      <c r="B171" s="6">
        <v>45185</v>
      </c>
      <c r="C171">
        <v>2023</v>
      </c>
      <c r="D171">
        <v>9</v>
      </c>
      <c r="E171">
        <v>16</v>
      </c>
      <c r="F171" t="s">
        <v>36</v>
      </c>
      <c r="G171" t="str">
        <f>VLOOKUP(F171,'Pond name mapping'!B$3:C$91,2,FALSE)</f>
        <v>Ecotarium</v>
      </c>
      <c r="H171" s="8" t="s">
        <v>181</v>
      </c>
      <c r="I171" t="str">
        <f t="shared" si="2"/>
        <v>Ecotarium#2023-09-16</v>
      </c>
      <c r="J171" t="s">
        <v>570</v>
      </c>
    </row>
    <row r="172" spans="1:10">
      <c r="A172" t="s">
        <v>571</v>
      </c>
      <c r="B172" s="6">
        <v>44683</v>
      </c>
      <c r="C172">
        <v>2022</v>
      </c>
      <c r="D172">
        <v>5</v>
      </c>
      <c r="E172">
        <v>2</v>
      </c>
      <c r="F172" t="s">
        <v>36</v>
      </c>
      <c r="G172" t="str">
        <f>VLOOKUP(F172,'Pond name mapping'!B$3:C$91,2,FALSE)</f>
        <v>Ecotarium</v>
      </c>
      <c r="H172" s="8" t="s">
        <v>305</v>
      </c>
      <c r="I172" t="str">
        <f t="shared" si="2"/>
        <v>Ecotarium#2022-05-02</v>
      </c>
      <c r="J172" t="s">
        <v>571</v>
      </c>
    </row>
    <row r="173" spans="1:10">
      <c r="A173" t="s">
        <v>572</v>
      </c>
      <c r="B173" s="6">
        <v>44702</v>
      </c>
      <c r="C173">
        <v>2022</v>
      </c>
      <c r="D173">
        <v>5</v>
      </c>
      <c r="E173">
        <v>21</v>
      </c>
      <c r="F173" t="s">
        <v>36</v>
      </c>
      <c r="G173" t="str">
        <f>VLOOKUP(F173,'Pond name mapping'!B$3:C$91,2,FALSE)</f>
        <v>Ecotarium</v>
      </c>
      <c r="H173" s="8" t="s">
        <v>307</v>
      </c>
      <c r="I173" t="str">
        <f t="shared" si="2"/>
        <v>Ecotarium#2022-05-21</v>
      </c>
      <c r="J173" t="s">
        <v>573</v>
      </c>
    </row>
    <row r="174" spans="1:10">
      <c r="A174" t="s">
        <v>574</v>
      </c>
      <c r="B174" s="6">
        <v>44718</v>
      </c>
      <c r="C174">
        <v>2022</v>
      </c>
      <c r="D174">
        <v>6</v>
      </c>
      <c r="E174">
        <v>6</v>
      </c>
      <c r="F174" t="s">
        <v>36</v>
      </c>
      <c r="G174" t="str">
        <f>VLOOKUP(F174,'Pond name mapping'!B$3:C$91,2,FALSE)</f>
        <v>Ecotarium</v>
      </c>
      <c r="H174" s="8" t="s">
        <v>309</v>
      </c>
      <c r="I174" t="str">
        <f t="shared" si="2"/>
        <v>Ecotarium#2022-06-06</v>
      </c>
      <c r="J174" t="s">
        <v>575</v>
      </c>
    </row>
    <row r="175" spans="1:10">
      <c r="A175" t="s">
        <v>576</v>
      </c>
      <c r="B175" s="6">
        <v>44730</v>
      </c>
      <c r="C175">
        <v>2022</v>
      </c>
      <c r="D175">
        <v>6</v>
      </c>
      <c r="E175">
        <v>18</v>
      </c>
      <c r="F175" t="s">
        <v>36</v>
      </c>
      <c r="G175" t="str">
        <f>VLOOKUP(F175,'Pond name mapping'!B$3:C$91,2,FALSE)</f>
        <v>Ecotarium</v>
      </c>
      <c r="H175" s="8" t="s">
        <v>311</v>
      </c>
      <c r="I175" t="str">
        <f t="shared" si="2"/>
        <v>Ecotarium#2022-06-18</v>
      </c>
      <c r="J175" t="s">
        <v>577</v>
      </c>
    </row>
    <row r="176" spans="1:10">
      <c r="A176" t="s">
        <v>578</v>
      </c>
      <c r="B176" s="6">
        <v>44747</v>
      </c>
      <c r="C176">
        <v>2022</v>
      </c>
      <c r="D176">
        <v>7</v>
      </c>
      <c r="E176">
        <v>5</v>
      </c>
      <c r="F176" t="s">
        <v>36</v>
      </c>
      <c r="G176" t="str">
        <f>VLOOKUP(F176,'Pond name mapping'!B$3:C$91,2,FALSE)</f>
        <v>Ecotarium</v>
      </c>
      <c r="H176" s="8" t="s">
        <v>313</v>
      </c>
      <c r="I176" t="str">
        <f t="shared" si="2"/>
        <v>Ecotarium#2022-07-05</v>
      </c>
      <c r="J176" t="s">
        <v>579</v>
      </c>
    </row>
    <row r="177" spans="1:10">
      <c r="A177" t="s">
        <v>580</v>
      </c>
      <c r="B177" s="6">
        <v>44758</v>
      </c>
      <c r="C177">
        <v>2022</v>
      </c>
      <c r="D177">
        <v>7</v>
      </c>
      <c r="E177">
        <v>16</v>
      </c>
      <c r="F177" t="s">
        <v>36</v>
      </c>
      <c r="G177" t="str">
        <f>VLOOKUP(F177,'Pond name mapping'!B$3:C$91,2,FALSE)</f>
        <v>Ecotarium</v>
      </c>
      <c r="H177" s="8" t="s">
        <v>315</v>
      </c>
      <c r="I177" t="str">
        <f t="shared" si="2"/>
        <v>Ecotarium#2022-07-16</v>
      </c>
      <c r="J177" t="s">
        <v>581</v>
      </c>
    </row>
    <row r="178" spans="1:10">
      <c r="A178" t="s">
        <v>582</v>
      </c>
      <c r="B178" s="6">
        <v>44774</v>
      </c>
      <c r="C178">
        <v>2022</v>
      </c>
      <c r="D178">
        <v>8</v>
      </c>
      <c r="E178">
        <v>1</v>
      </c>
      <c r="F178" t="s">
        <v>36</v>
      </c>
      <c r="G178" t="str">
        <f>VLOOKUP(F178,'Pond name mapping'!B$3:C$91,2,FALSE)</f>
        <v>Ecotarium</v>
      </c>
      <c r="H178" s="8" t="s">
        <v>317</v>
      </c>
      <c r="I178" t="str">
        <f t="shared" si="2"/>
        <v>Ecotarium#2022-08-01</v>
      </c>
      <c r="J178" t="s">
        <v>583</v>
      </c>
    </row>
    <row r="179" spans="1:10">
      <c r="A179" t="s">
        <v>584</v>
      </c>
      <c r="B179" s="6">
        <v>44800</v>
      </c>
      <c r="C179">
        <v>2022</v>
      </c>
      <c r="D179">
        <v>8</v>
      </c>
      <c r="E179">
        <v>27</v>
      </c>
      <c r="F179" t="s">
        <v>36</v>
      </c>
      <c r="G179" t="str">
        <f>VLOOKUP(F179,'Pond name mapping'!B$3:C$91,2,FALSE)</f>
        <v>Ecotarium</v>
      </c>
      <c r="H179" s="8" t="s">
        <v>376</v>
      </c>
      <c r="I179" t="str">
        <f t="shared" si="2"/>
        <v>Ecotarium#2022-08-27</v>
      </c>
      <c r="J179" t="s">
        <v>585</v>
      </c>
    </row>
    <row r="180" spans="1:10">
      <c r="A180" t="s">
        <v>586</v>
      </c>
      <c r="B180" s="6">
        <v>44816</v>
      </c>
      <c r="C180">
        <v>2022</v>
      </c>
      <c r="D180">
        <v>9</v>
      </c>
      <c r="E180">
        <v>12</v>
      </c>
      <c r="F180" t="s">
        <v>36</v>
      </c>
      <c r="G180" t="str">
        <f>VLOOKUP(F180,'Pond name mapping'!B$3:C$91,2,FALSE)</f>
        <v>Ecotarium</v>
      </c>
      <c r="H180" s="8" t="s">
        <v>320</v>
      </c>
      <c r="I180" t="str">
        <f t="shared" si="2"/>
        <v>Ecotarium#2022-09-12</v>
      </c>
      <c r="J180" t="s">
        <v>587</v>
      </c>
    </row>
    <row r="181" spans="1:10">
      <c r="A181" t="s">
        <v>588</v>
      </c>
      <c r="B181" s="6">
        <v>44837</v>
      </c>
      <c r="C181">
        <v>2022</v>
      </c>
      <c r="D181">
        <v>10</v>
      </c>
      <c r="E181">
        <v>3</v>
      </c>
      <c r="F181" t="s">
        <v>36</v>
      </c>
      <c r="G181" t="str">
        <f>VLOOKUP(F181,'Pond name mapping'!B$3:C$91,2,FALSE)</f>
        <v>Ecotarium</v>
      </c>
      <c r="H181" s="8" t="s">
        <v>326</v>
      </c>
      <c r="I181" t="str">
        <f t="shared" si="2"/>
        <v>Ecotarium#2022-10-03</v>
      </c>
      <c r="J181" t="s">
        <v>589</v>
      </c>
    </row>
    <row r="182" spans="1:10">
      <c r="A182" t="s">
        <v>590</v>
      </c>
      <c r="B182" s="6">
        <v>45129</v>
      </c>
      <c r="C182">
        <v>2023</v>
      </c>
      <c r="D182">
        <v>7</v>
      </c>
      <c r="E182">
        <v>22</v>
      </c>
      <c r="F182" t="s">
        <v>213</v>
      </c>
      <c r="G182" t="str">
        <f>VLOOKUP(F182,'Pond name mapping'!B$3:C$91,2,FALSE)</f>
        <v>Elm</v>
      </c>
      <c r="H182" s="8" t="s">
        <v>183</v>
      </c>
      <c r="I182" t="str">
        <f t="shared" si="2"/>
        <v>Elm#2023-07-22</v>
      </c>
      <c r="J182" t="s">
        <v>591</v>
      </c>
    </row>
    <row r="183" spans="1:10">
      <c r="A183" t="s">
        <v>592</v>
      </c>
      <c r="B183" s="6">
        <v>45157</v>
      </c>
      <c r="C183">
        <v>2023</v>
      </c>
      <c r="D183">
        <v>8</v>
      </c>
      <c r="E183">
        <v>19</v>
      </c>
      <c r="F183" t="s">
        <v>213</v>
      </c>
      <c r="G183" t="str">
        <f>VLOOKUP(F183,'Pond name mapping'!B$3:C$91,2,FALSE)</f>
        <v>Elm</v>
      </c>
      <c r="H183" s="8" t="s">
        <v>184</v>
      </c>
      <c r="I183" t="str">
        <f t="shared" si="2"/>
        <v>Elm#2023-08-19</v>
      </c>
      <c r="J183" t="s">
        <v>593</v>
      </c>
    </row>
    <row r="184" spans="1:10">
      <c r="A184" t="s">
        <v>594</v>
      </c>
      <c r="B184" s="6">
        <v>45157</v>
      </c>
      <c r="C184">
        <v>2023</v>
      </c>
      <c r="D184">
        <v>8</v>
      </c>
      <c r="E184">
        <v>19</v>
      </c>
      <c r="F184" t="s">
        <v>213</v>
      </c>
      <c r="G184" t="str">
        <f>VLOOKUP(F184,'Pond name mapping'!B$3:C$91,2,FALSE)</f>
        <v>Elm</v>
      </c>
      <c r="H184" s="8" t="s">
        <v>184</v>
      </c>
      <c r="I184" t="str">
        <f t="shared" si="2"/>
        <v>Elm#2023-08-19</v>
      </c>
      <c r="J184" t="s">
        <v>595</v>
      </c>
    </row>
    <row r="185" spans="1:10">
      <c r="A185" t="s">
        <v>596</v>
      </c>
      <c r="B185" s="6">
        <v>45201</v>
      </c>
      <c r="C185">
        <v>2023</v>
      </c>
      <c r="D185">
        <v>10</v>
      </c>
      <c r="E185">
        <v>2</v>
      </c>
      <c r="F185" t="s">
        <v>213</v>
      </c>
      <c r="G185" t="str">
        <f>VLOOKUP(F185,'Pond name mapping'!B$3:C$91,2,FALSE)</f>
        <v>Elm</v>
      </c>
      <c r="H185" s="8" t="s">
        <v>190</v>
      </c>
      <c r="I185" t="str">
        <f t="shared" si="2"/>
        <v>Elm#2023-10-02</v>
      </c>
      <c r="J185" t="s">
        <v>597</v>
      </c>
    </row>
    <row r="186" spans="1:10">
      <c r="A186" t="s">
        <v>598</v>
      </c>
      <c r="B186" s="6">
        <v>44828</v>
      </c>
      <c r="C186">
        <v>2022</v>
      </c>
      <c r="D186">
        <v>9</v>
      </c>
      <c r="E186">
        <v>24</v>
      </c>
      <c r="F186" t="s">
        <v>213</v>
      </c>
      <c r="G186" t="str">
        <f>VLOOKUP(F186,'Pond name mapping'!B$3:C$91,2,FALSE)</f>
        <v>Elm</v>
      </c>
      <c r="H186" s="8" t="s">
        <v>324</v>
      </c>
      <c r="I186" t="str">
        <f t="shared" si="2"/>
        <v>Elm#2022-09-24</v>
      </c>
      <c r="J186" t="s">
        <v>599</v>
      </c>
    </row>
    <row r="187" spans="1:10">
      <c r="A187" t="s">
        <v>600</v>
      </c>
      <c r="B187" s="6">
        <v>45073</v>
      </c>
      <c r="C187">
        <v>2023</v>
      </c>
      <c r="D187">
        <v>5</v>
      </c>
      <c r="E187">
        <v>27</v>
      </c>
      <c r="F187" t="s">
        <v>214</v>
      </c>
      <c r="G187" t="str">
        <f>VLOOKUP(F187,'Pond name mapping'!B$3:C$91,2,FALSE)</f>
        <v>Elm</v>
      </c>
      <c r="H187" s="8" t="s">
        <v>188</v>
      </c>
      <c r="I187" t="str">
        <f t="shared" si="2"/>
        <v>Elm#2023-05-27</v>
      </c>
      <c r="J187" t="s">
        <v>601</v>
      </c>
    </row>
    <row r="188" spans="1:10">
      <c r="A188" t="s">
        <v>602</v>
      </c>
      <c r="B188" s="6">
        <v>45089</v>
      </c>
      <c r="C188">
        <v>2023</v>
      </c>
      <c r="D188">
        <v>6</v>
      </c>
      <c r="E188">
        <v>12</v>
      </c>
      <c r="F188" t="s">
        <v>214</v>
      </c>
      <c r="G188" t="str">
        <f>VLOOKUP(F188,'Pond name mapping'!B$3:C$91,2,FALSE)</f>
        <v>Elm</v>
      </c>
      <c r="H188" s="8" t="s">
        <v>189</v>
      </c>
      <c r="I188" t="str">
        <f t="shared" si="2"/>
        <v>Elm#2023-06-12</v>
      </c>
      <c r="J188" t="s">
        <v>603</v>
      </c>
    </row>
    <row r="189" spans="1:10">
      <c r="A189" t="s">
        <v>604</v>
      </c>
      <c r="B189" s="6">
        <v>45185</v>
      </c>
      <c r="C189">
        <v>2023</v>
      </c>
      <c r="D189">
        <v>9</v>
      </c>
      <c r="E189">
        <v>16</v>
      </c>
      <c r="F189" t="s">
        <v>214</v>
      </c>
      <c r="G189" t="str">
        <f>VLOOKUP(F189,'Pond name mapping'!B$3:C$91,2,FALSE)</f>
        <v>Elm</v>
      </c>
      <c r="H189" s="8" t="s">
        <v>181</v>
      </c>
      <c r="I189" t="str">
        <f t="shared" si="2"/>
        <v>Elm#2023-09-16</v>
      </c>
      <c r="J189" t="s">
        <v>605</v>
      </c>
    </row>
    <row r="190" spans="1:10">
      <c r="A190" t="s">
        <v>606</v>
      </c>
      <c r="B190" s="6">
        <v>44747</v>
      </c>
      <c r="C190">
        <v>2022</v>
      </c>
      <c r="D190">
        <v>7</v>
      </c>
      <c r="E190">
        <v>5</v>
      </c>
      <c r="F190" t="s">
        <v>214</v>
      </c>
      <c r="G190" t="str">
        <f>VLOOKUP(F190,'Pond name mapping'!B$3:C$91,2,FALSE)</f>
        <v>Elm</v>
      </c>
      <c r="H190" s="8" t="s">
        <v>313</v>
      </c>
      <c r="I190" t="str">
        <f t="shared" si="2"/>
        <v>Elm#2022-07-05</v>
      </c>
      <c r="J190" t="s">
        <v>607</v>
      </c>
    </row>
    <row r="191" spans="1:10">
      <c r="A191" t="s">
        <v>608</v>
      </c>
      <c r="B191" s="6">
        <v>44816</v>
      </c>
      <c r="C191">
        <v>2022</v>
      </c>
      <c r="D191">
        <v>9</v>
      </c>
      <c r="E191">
        <v>12</v>
      </c>
      <c r="F191" t="s">
        <v>214</v>
      </c>
      <c r="G191" t="str">
        <f>VLOOKUP(F191,'Pond name mapping'!B$3:C$91,2,FALSE)</f>
        <v>Elm</v>
      </c>
      <c r="H191" s="8" t="s">
        <v>320</v>
      </c>
      <c r="I191" t="str">
        <f t="shared" si="2"/>
        <v>Elm#2022-09-12</v>
      </c>
      <c r="J191" t="s">
        <v>609</v>
      </c>
    </row>
    <row r="192" spans="1:10">
      <c r="A192" t="s">
        <v>610</v>
      </c>
      <c r="B192" s="6">
        <v>45061</v>
      </c>
      <c r="C192">
        <v>2023</v>
      </c>
      <c r="D192">
        <v>5</v>
      </c>
      <c r="E192">
        <v>15</v>
      </c>
      <c r="F192" t="s">
        <v>215</v>
      </c>
      <c r="G192" t="str">
        <f>VLOOKUP(F192,'Pond name mapping'!B$3:C$91,2,FALSE)</f>
        <v>Elm</v>
      </c>
      <c r="H192" s="8" t="s">
        <v>187</v>
      </c>
      <c r="I192" t="str">
        <f t="shared" si="2"/>
        <v>Elm#2023-05-15</v>
      </c>
      <c r="J192" t="s">
        <v>611</v>
      </c>
    </row>
    <row r="193" spans="1:10">
      <c r="A193" t="s">
        <v>612</v>
      </c>
      <c r="B193" s="6">
        <v>44683</v>
      </c>
      <c r="C193">
        <v>2022</v>
      </c>
      <c r="D193">
        <v>5</v>
      </c>
      <c r="E193">
        <v>2</v>
      </c>
      <c r="F193" t="s">
        <v>38</v>
      </c>
      <c r="G193" t="str">
        <f>VLOOKUP(F193,'Pond name mapping'!B$3:C$91,2,FALSE)</f>
        <v>Elm</v>
      </c>
      <c r="H193" s="8" t="s">
        <v>305</v>
      </c>
      <c r="I193" t="str">
        <f t="shared" si="2"/>
        <v>Elm#2022-05-02</v>
      </c>
      <c r="J193" t="s">
        <v>612</v>
      </c>
    </row>
    <row r="194" spans="1:10">
      <c r="A194" t="s">
        <v>613</v>
      </c>
      <c r="B194" s="6">
        <v>44702</v>
      </c>
      <c r="C194">
        <v>2022</v>
      </c>
      <c r="D194">
        <v>5</v>
      </c>
      <c r="E194">
        <v>21</v>
      </c>
      <c r="F194" t="s">
        <v>38</v>
      </c>
      <c r="G194" t="str">
        <f>VLOOKUP(F194,'Pond name mapping'!B$3:C$91,2,FALSE)</f>
        <v>Elm</v>
      </c>
      <c r="H194" s="8" t="s">
        <v>307</v>
      </c>
      <c r="I194" t="str">
        <f t="shared" si="2"/>
        <v>Elm#2022-05-21</v>
      </c>
      <c r="J194" t="s">
        <v>614</v>
      </c>
    </row>
    <row r="195" spans="1:10">
      <c r="A195" t="s">
        <v>615</v>
      </c>
      <c r="B195" s="6">
        <v>44702</v>
      </c>
      <c r="C195">
        <v>2022</v>
      </c>
      <c r="D195">
        <v>5</v>
      </c>
      <c r="E195">
        <v>21</v>
      </c>
      <c r="F195" t="s">
        <v>38</v>
      </c>
      <c r="G195" t="str">
        <f>VLOOKUP(F195,'Pond name mapping'!B$3:C$91,2,FALSE)</f>
        <v>Elm</v>
      </c>
      <c r="H195" s="8" t="s">
        <v>307</v>
      </c>
      <c r="I195" t="str">
        <f t="shared" si="2"/>
        <v>Elm#2022-05-21</v>
      </c>
      <c r="J195" t="s">
        <v>615</v>
      </c>
    </row>
    <row r="196" spans="1:10">
      <c r="A196" t="s">
        <v>616</v>
      </c>
      <c r="B196" s="6">
        <v>44774</v>
      </c>
      <c r="C196">
        <v>2022</v>
      </c>
      <c r="D196">
        <v>8</v>
      </c>
      <c r="E196">
        <v>1</v>
      </c>
      <c r="F196" t="s">
        <v>38</v>
      </c>
      <c r="G196" t="str">
        <f>VLOOKUP(F196,'Pond name mapping'!B$3:C$91,2,FALSE)</f>
        <v>Elm</v>
      </c>
      <c r="H196" s="8" t="s">
        <v>317</v>
      </c>
      <c r="I196" t="str">
        <f t="shared" si="2"/>
        <v>Elm#2022-08-01</v>
      </c>
      <c r="J196" t="s">
        <v>617</v>
      </c>
    </row>
    <row r="197" spans="1:10">
      <c r="A197" t="s">
        <v>618</v>
      </c>
      <c r="B197" s="6">
        <v>44718</v>
      </c>
      <c r="C197">
        <v>2022</v>
      </c>
      <c r="D197">
        <v>6</v>
      </c>
      <c r="E197">
        <v>6</v>
      </c>
      <c r="F197" t="s">
        <v>214</v>
      </c>
      <c r="G197" t="str">
        <f>VLOOKUP(F197,'Pond name mapping'!B$3:C$91,2,FALSE)</f>
        <v>Elm</v>
      </c>
      <c r="H197" s="8" t="s">
        <v>309</v>
      </c>
      <c r="I197" t="str">
        <f t="shared" ref="I197:I260" si="3">CONCATENATE(G197,"#",H197)</f>
        <v>Elm#2022-06-06</v>
      </c>
      <c r="J197" t="s">
        <v>619</v>
      </c>
    </row>
    <row r="198" spans="1:10">
      <c r="A198" t="s">
        <v>620</v>
      </c>
      <c r="B198" s="6">
        <v>44758</v>
      </c>
      <c r="C198">
        <v>2022</v>
      </c>
      <c r="D198">
        <v>7</v>
      </c>
      <c r="E198">
        <v>16</v>
      </c>
      <c r="F198" t="s">
        <v>214</v>
      </c>
      <c r="G198" t="str">
        <f>VLOOKUP(F198,'Pond name mapping'!B$3:C$91,2,FALSE)</f>
        <v>Elm</v>
      </c>
      <c r="H198" s="8" t="s">
        <v>315</v>
      </c>
      <c r="I198" t="str">
        <f t="shared" si="3"/>
        <v>Elm#2022-07-16</v>
      </c>
      <c r="J198" t="s">
        <v>621</v>
      </c>
    </row>
    <row r="199" spans="1:10">
      <c r="A199" t="s">
        <v>622</v>
      </c>
      <c r="B199" s="6">
        <v>44730</v>
      </c>
      <c r="C199">
        <v>2022</v>
      </c>
      <c r="D199">
        <v>6</v>
      </c>
      <c r="E199">
        <v>18</v>
      </c>
      <c r="F199" t="s">
        <v>216</v>
      </c>
      <c r="G199" t="str">
        <f>VLOOKUP(F199,'Pond name mapping'!B$3:C$91,2,FALSE)</f>
        <v>Elm</v>
      </c>
      <c r="H199" s="8" t="s">
        <v>311</v>
      </c>
      <c r="I199" t="str">
        <f t="shared" si="3"/>
        <v>Elm#2022-06-18</v>
      </c>
      <c r="J199" t="s">
        <v>623</v>
      </c>
    </row>
    <row r="200" spans="1:10">
      <c r="A200" t="s">
        <v>624</v>
      </c>
      <c r="B200" s="6">
        <v>44837</v>
      </c>
      <c r="C200">
        <v>2022</v>
      </c>
      <c r="D200">
        <v>10</v>
      </c>
      <c r="E200">
        <v>3</v>
      </c>
      <c r="F200" t="s">
        <v>216</v>
      </c>
      <c r="G200" t="str">
        <f>VLOOKUP(F200,'Pond name mapping'!B$3:C$91,2,FALSE)</f>
        <v>Elm</v>
      </c>
      <c r="H200" s="8" t="s">
        <v>326</v>
      </c>
      <c r="I200" t="str">
        <f t="shared" si="3"/>
        <v>Elm#2022-10-03</v>
      </c>
      <c r="J200" t="s">
        <v>625</v>
      </c>
    </row>
    <row r="201" spans="1:10">
      <c r="A201" t="s">
        <v>626</v>
      </c>
      <c r="B201" s="6">
        <v>44470</v>
      </c>
      <c r="C201">
        <v>2021</v>
      </c>
      <c r="D201">
        <v>10</v>
      </c>
      <c r="E201">
        <v>1</v>
      </c>
      <c r="F201" t="s">
        <v>217</v>
      </c>
      <c r="G201" t="str">
        <f>VLOOKUP(F201,'Pond name mapping'!B$3:C$91,2,FALSE)</f>
        <v>Faluluh</v>
      </c>
      <c r="H201" s="8" t="s">
        <v>627</v>
      </c>
      <c r="I201" t="str">
        <f t="shared" si="3"/>
        <v>Faluluh#2021-10-01</v>
      </c>
      <c r="J201" t="s">
        <v>626</v>
      </c>
    </row>
    <row r="202" spans="1:10">
      <c r="A202" t="s">
        <v>628</v>
      </c>
      <c r="B202" s="6">
        <v>45045</v>
      </c>
      <c r="C202">
        <v>2023</v>
      </c>
      <c r="D202">
        <v>4</v>
      </c>
      <c r="E202">
        <v>29</v>
      </c>
      <c r="F202" t="s">
        <v>218</v>
      </c>
      <c r="G202" t="str">
        <f>VLOOKUP(F202,'Pond name mapping'!B$3:C$91,2,FALSE)</f>
        <v>Farm</v>
      </c>
      <c r="H202" s="8" t="s">
        <v>300</v>
      </c>
      <c r="I202" t="str">
        <f t="shared" si="3"/>
        <v>Farm#2023-04-29</v>
      </c>
      <c r="J202" t="s">
        <v>629</v>
      </c>
    </row>
    <row r="203" spans="1:10">
      <c r="A203" t="s">
        <v>630</v>
      </c>
      <c r="B203" s="6">
        <v>45073</v>
      </c>
      <c r="C203">
        <v>2023</v>
      </c>
      <c r="D203">
        <v>5</v>
      </c>
      <c r="E203">
        <v>27</v>
      </c>
      <c r="F203" t="s">
        <v>218</v>
      </c>
      <c r="G203" t="str">
        <f>VLOOKUP(F203,'Pond name mapping'!B$3:C$91,2,FALSE)</f>
        <v>Farm</v>
      </c>
      <c r="H203" s="8" t="s">
        <v>188</v>
      </c>
      <c r="I203" t="str">
        <f t="shared" si="3"/>
        <v>Farm#2023-05-27</v>
      </c>
      <c r="J203" t="s">
        <v>631</v>
      </c>
    </row>
    <row r="204" spans="1:10">
      <c r="A204" t="s">
        <v>632</v>
      </c>
      <c r="B204" s="6">
        <v>45101</v>
      </c>
      <c r="C204">
        <v>2023</v>
      </c>
      <c r="D204">
        <v>6</v>
      </c>
      <c r="E204">
        <v>24</v>
      </c>
      <c r="F204" t="s">
        <v>218</v>
      </c>
      <c r="G204" t="str">
        <f>VLOOKUP(F204,'Pond name mapping'!B$3:C$91,2,FALSE)</f>
        <v>Farm</v>
      </c>
      <c r="H204" s="8" t="s">
        <v>283</v>
      </c>
      <c r="I204" t="str">
        <f t="shared" si="3"/>
        <v>Farm#2023-06-24</v>
      </c>
      <c r="J204" t="s">
        <v>633</v>
      </c>
    </row>
    <row r="205" spans="1:10">
      <c r="A205" t="s">
        <v>634</v>
      </c>
      <c r="B205" s="6">
        <v>45117</v>
      </c>
      <c r="C205">
        <v>2023</v>
      </c>
      <c r="D205">
        <v>7</v>
      </c>
      <c r="E205">
        <v>10</v>
      </c>
      <c r="F205" t="s">
        <v>218</v>
      </c>
      <c r="G205" t="str">
        <f>VLOOKUP(F205,'Pond name mapping'!B$3:C$91,2,FALSE)</f>
        <v>Farm</v>
      </c>
      <c r="H205" s="8" t="s">
        <v>182</v>
      </c>
      <c r="I205" t="str">
        <f t="shared" si="3"/>
        <v>Farm#2023-07-10</v>
      </c>
      <c r="J205" t="s">
        <v>635</v>
      </c>
    </row>
    <row r="206" spans="1:10">
      <c r="A206" t="s">
        <v>636</v>
      </c>
      <c r="B206" s="6">
        <v>45129</v>
      </c>
      <c r="C206">
        <v>2023</v>
      </c>
      <c r="D206">
        <v>7</v>
      </c>
      <c r="E206">
        <v>22</v>
      </c>
      <c r="F206" t="s">
        <v>218</v>
      </c>
      <c r="G206" t="str">
        <f>VLOOKUP(F206,'Pond name mapping'!B$3:C$91,2,FALSE)</f>
        <v>Farm</v>
      </c>
      <c r="H206" s="8" t="s">
        <v>183</v>
      </c>
      <c r="I206" t="str">
        <f t="shared" si="3"/>
        <v>Farm#2023-07-22</v>
      </c>
      <c r="J206" t="s">
        <v>637</v>
      </c>
    </row>
    <row r="207" spans="1:10">
      <c r="A207" t="s">
        <v>638</v>
      </c>
      <c r="B207" s="6">
        <v>45145</v>
      </c>
      <c r="C207">
        <v>2023</v>
      </c>
      <c r="D207">
        <v>8</v>
      </c>
      <c r="E207">
        <v>7</v>
      </c>
      <c r="F207" t="s">
        <v>218</v>
      </c>
      <c r="G207" t="str">
        <f>VLOOKUP(F207,'Pond name mapping'!B$3:C$91,2,FALSE)</f>
        <v>Farm</v>
      </c>
      <c r="H207" s="8" t="s">
        <v>180</v>
      </c>
      <c r="I207" t="str">
        <f t="shared" si="3"/>
        <v>Farm#2023-08-07</v>
      </c>
      <c r="J207" t="s">
        <v>639</v>
      </c>
    </row>
    <row r="208" spans="1:10">
      <c r="A208" t="s">
        <v>640</v>
      </c>
      <c r="B208" s="6">
        <v>45157</v>
      </c>
      <c r="C208">
        <v>2023</v>
      </c>
      <c r="D208">
        <v>8</v>
      </c>
      <c r="E208">
        <v>19</v>
      </c>
      <c r="F208" t="s">
        <v>218</v>
      </c>
      <c r="G208" t="str">
        <f>VLOOKUP(F208,'Pond name mapping'!B$3:C$91,2,FALSE)</f>
        <v>Farm</v>
      </c>
      <c r="H208" s="8" t="s">
        <v>184</v>
      </c>
      <c r="I208" t="str">
        <f t="shared" si="3"/>
        <v>Farm#2023-08-19</v>
      </c>
      <c r="J208" t="s">
        <v>641</v>
      </c>
    </row>
    <row r="209" spans="1:10">
      <c r="A209" t="s">
        <v>642</v>
      </c>
      <c r="B209" s="6">
        <v>45174</v>
      </c>
      <c r="C209">
        <v>2023</v>
      </c>
      <c r="D209">
        <v>9</v>
      </c>
      <c r="E209">
        <v>5</v>
      </c>
      <c r="F209" t="s">
        <v>218</v>
      </c>
      <c r="G209" t="str">
        <f>VLOOKUP(F209,'Pond name mapping'!B$3:C$91,2,FALSE)</f>
        <v>Farm</v>
      </c>
      <c r="H209" s="8" t="s">
        <v>185</v>
      </c>
      <c r="I209" t="str">
        <f t="shared" si="3"/>
        <v>Farm#2023-09-05</v>
      </c>
      <c r="J209" t="s">
        <v>643</v>
      </c>
    </row>
    <row r="210" spans="1:10">
      <c r="A210" t="s">
        <v>644</v>
      </c>
      <c r="B210" s="6">
        <v>45185</v>
      </c>
      <c r="C210">
        <v>2023</v>
      </c>
      <c r="D210">
        <v>9</v>
      </c>
      <c r="E210">
        <v>16</v>
      </c>
      <c r="F210" t="s">
        <v>218</v>
      </c>
      <c r="G210" t="str">
        <f>VLOOKUP(F210,'Pond name mapping'!B$3:C$91,2,FALSE)</f>
        <v>Farm</v>
      </c>
      <c r="H210" s="8" t="s">
        <v>181</v>
      </c>
      <c r="I210" t="str">
        <f t="shared" si="3"/>
        <v>Farm#2023-09-16</v>
      </c>
      <c r="J210" t="s">
        <v>645</v>
      </c>
    </row>
    <row r="211" spans="1:10">
      <c r="A211" t="s">
        <v>646</v>
      </c>
      <c r="B211" s="6">
        <v>45213</v>
      </c>
      <c r="C211">
        <v>2023</v>
      </c>
      <c r="D211">
        <v>10</v>
      </c>
      <c r="E211">
        <v>14</v>
      </c>
      <c r="F211" t="s">
        <v>218</v>
      </c>
      <c r="G211" t="str">
        <f>VLOOKUP(F211,'Pond name mapping'!B$3:C$91,2,FALSE)</f>
        <v>Farm</v>
      </c>
      <c r="H211" s="8" t="s">
        <v>186</v>
      </c>
      <c r="I211" t="str">
        <f t="shared" si="3"/>
        <v>Farm#2023-10-14</v>
      </c>
      <c r="J211" t="s">
        <v>647</v>
      </c>
    </row>
    <row r="212" spans="1:10">
      <c r="A212" t="s">
        <v>648</v>
      </c>
      <c r="B212" s="6">
        <v>45229</v>
      </c>
      <c r="C212">
        <v>2023</v>
      </c>
      <c r="D212">
        <v>10</v>
      </c>
      <c r="E212">
        <v>30</v>
      </c>
      <c r="F212" t="s">
        <v>218</v>
      </c>
      <c r="G212" t="str">
        <f>VLOOKUP(F212,'Pond name mapping'!B$3:C$91,2,FALSE)</f>
        <v>Farm</v>
      </c>
      <c r="H212" s="8" t="s">
        <v>355</v>
      </c>
      <c r="I212" t="str">
        <f t="shared" si="3"/>
        <v>Farm#2023-10-30</v>
      </c>
      <c r="J212" t="s">
        <v>649</v>
      </c>
    </row>
    <row r="213" spans="1:10">
      <c r="A213" t="s">
        <v>650</v>
      </c>
      <c r="B213" s="6">
        <v>44816</v>
      </c>
      <c r="C213">
        <v>2022</v>
      </c>
      <c r="D213">
        <v>9</v>
      </c>
      <c r="E213">
        <v>12</v>
      </c>
      <c r="F213" t="s">
        <v>218</v>
      </c>
      <c r="G213" t="str">
        <f>VLOOKUP(F213,'Pond name mapping'!B$3:C$91,2,FALSE)</f>
        <v>Farm</v>
      </c>
      <c r="H213" s="8" t="s">
        <v>320</v>
      </c>
      <c r="I213" t="str">
        <f t="shared" si="3"/>
        <v>Farm#2022-09-12</v>
      </c>
      <c r="J213" t="s">
        <v>651</v>
      </c>
    </row>
    <row r="214" spans="1:10">
      <c r="A214" t="s">
        <v>652</v>
      </c>
      <c r="B214" s="6">
        <v>45446</v>
      </c>
      <c r="C214">
        <v>2024</v>
      </c>
      <c r="D214">
        <v>6</v>
      </c>
      <c r="E214">
        <v>3</v>
      </c>
      <c r="F214" t="s">
        <v>40</v>
      </c>
      <c r="G214" t="str">
        <f>VLOOKUP(F214,'Pond name mapping'!B$3:C$91,2,FALSE)</f>
        <v>Farm</v>
      </c>
      <c r="H214" s="8" t="s">
        <v>334</v>
      </c>
      <c r="I214" t="str">
        <f t="shared" si="3"/>
        <v>Farm#2024-06-03</v>
      </c>
      <c r="J214" t="s">
        <v>652</v>
      </c>
    </row>
    <row r="215" spans="1:10">
      <c r="A215" t="s">
        <v>653</v>
      </c>
      <c r="B215" s="6">
        <v>44366</v>
      </c>
      <c r="C215">
        <v>2021</v>
      </c>
      <c r="D215">
        <v>6</v>
      </c>
      <c r="E215">
        <v>19</v>
      </c>
      <c r="F215" t="s">
        <v>40</v>
      </c>
      <c r="G215" t="str">
        <f>VLOOKUP(F215,'Pond name mapping'!B$3:C$91,2,FALSE)</f>
        <v>Farm</v>
      </c>
      <c r="H215" s="8" t="s">
        <v>303</v>
      </c>
      <c r="I215" t="str">
        <f t="shared" si="3"/>
        <v>Farm#2021-06-19</v>
      </c>
      <c r="J215" t="s">
        <v>653</v>
      </c>
    </row>
    <row r="216" spans="1:10">
      <c r="A216" t="s">
        <v>654</v>
      </c>
      <c r="B216" s="6">
        <v>44702</v>
      </c>
      <c r="C216">
        <v>2022</v>
      </c>
      <c r="D216">
        <v>5</v>
      </c>
      <c r="E216">
        <v>21</v>
      </c>
      <c r="F216" t="s">
        <v>40</v>
      </c>
      <c r="G216" t="str">
        <f>VLOOKUP(F216,'Pond name mapping'!B$3:C$91,2,FALSE)</f>
        <v>Farm</v>
      </c>
      <c r="H216" s="8" t="s">
        <v>307</v>
      </c>
      <c r="I216" t="str">
        <f t="shared" si="3"/>
        <v>Farm#2022-05-21</v>
      </c>
      <c r="J216" t="s">
        <v>654</v>
      </c>
    </row>
    <row r="217" spans="1:10">
      <c r="A217" t="s">
        <v>655</v>
      </c>
      <c r="B217" s="6">
        <v>44758</v>
      </c>
      <c r="C217">
        <v>2022</v>
      </c>
      <c r="D217">
        <v>7</v>
      </c>
      <c r="E217">
        <v>16</v>
      </c>
      <c r="F217" t="s">
        <v>40</v>
      </c>
      <c r="G217" t="str">
        <f>VLOOKUP(F217,'Pond name mapping'!B$3:C$91,2,FALSE)</f>
        <v>Farm</v>
      </c>
      <c r="H217" s="8" t="s">
        <v>315</v>
      </c>
      <c r="I217" t="str">
        <f t="shared" si="3"/>
        <v>Farm#2022-07-16</v>
      </c>
      <c r="J217" t="s">
        <v>655</v>
      </c>
    </row>
    <row r="218" spans="1:10">
      <c r="A218" t="s">
        <v>656</v>
      </c>
      <c r="B218" s="6">
        <v>44800</v>
      </c>
      <c r="C218">
        <v>2022</v>
      </c>
      <c r="D218">
        <v>8</v>
      </c>
      <c r="E218">
        <v>27</v>
      </c>
      <c r="F218" t="s">
        <v>40</v>
      </c>
      <c r="G218" t="str">
        <f>VLOOKUP(F218,'Pond name mapping'!B$3:C$91,2,FALSE)</f>
        <v>Farm</v>
      </c>
      <c r="H218" s="8" t="s">
        <v>376</v>
      </c>
      <c r="I218" t="str">
        <f t="shared" si="3"/>
        <v>Farm#2022-08-27</v>
      </c>
      <c r="J218" t="s">
        <v>656</v>
      </c>
    </row>
    <row r="219" spans="1:10">
      <c r="A219" t="s">
        <v>657</v>
      </c>
      <c r="B219" s="6">
        <v>44828</v>
      </c>
      <c r="C219">
        <v>2022</v>
      </c>
      <c r="D219">
        <v>9</v>
      </c>
      <c r="E219">
        <v>24</v>
      </c>
      <c r="F219" t="s">
        <v>40</v>
      </c>
      <c r="G219" t="str">
        <f>VLOOKUP(F219,'Pond name mapping'!B$3:C$91,2,FALSE)</f>
        <v>Farm</v>
      </c>
      <c r="H219" s="8" t="s">
        <v>324</v>
      </c>
      <c r="I219" t="str">
        <f t="shared" si="3"/>
        <v>Farm#2022-09-24</v>
      </c>
      <c r="J219" t="s">
        <v>657</v>
      </c>
    </row>
    <row r="220" spans="1:10">
      <c r="A220" t="s">
        <v>658</v>
      </c>
      <c r="B220" s="6">
        <v>44849</v>
      </c>
      <c r="C220">
        <v>2022</v>
      </c>
      <c r="D220">
        <v>10</v>
      </c>
      <c r="E220">
        <v>15</v>
      </c>
      <c r="F220" t="s">
        <v>40</v>
      </c>
      <c r="G220" t="str">
        <f>VLOOKUP(F220,'Pond name mapping'!B$3:C$91,2,FALSE)</f>
        <v>Farm</v>
      </c>
      <c r="H220" s="8" t="s">
        <v>379</v>
      </c>
      <c r="I220" t="str">
        <f t="shared" si="3"/>
        <v>Farm#2022-10-15</v>
      </c>
      <c r="J220" t="s">
        <v>658</v>
      </c>
    </row>
    <row r="221" spans="1:10">
      <c r="A221" t="s">
        <v>659</v>
      </c>
      <c r="B221" s="6">
        <v>44485</v>
      </c>
      <c r="C221">
        <v>2021</v>
      </c>
      <c r="D221">
        <v>10</v>
      </c>
      <c r="E221">
        <v>16</v>
      </c>
      <c r="F221" t="s">
        <v>40</v>
      </c>
      <c r="G221" t="str">
        <f>VLOOKUP(F221,'Pond name mapping'!B$3:C$91,2,FALSE)</f>
        <v>Farm</v>
      </c>
      <c r="H221" s="8" t="s">
        <v>331</v>
      </c>
      <c r="I221" t="str">
        <f t="shared" si="3"/>
        <v>Farm#2021-10-16</v>
      </c>
      <c r="J221" t="s">
        <v>659</v>
      </c>
    </row>
    <row r="222" spans="1:10">
      <c r="A222" t="s">
        <v>660</v>
      </c>
      <c r="B222" s="6">
        <v>44485</v>
      </c>
      <c r="C222">
        <v>2021</v>
      </c>
      <c r="D222">
        <v>10</v>
      </c>
      <c r="E222">
        <v>16</v>
      </c>
      <c r="F222" t="s">
        <v>40</v>
      </c>
      <c r="G222" t="str">
        <f>VLOOKUP(F222,'Pond name mapping'!B$3:C$91,2,FALSE)</f>
        <v>Farm</v>
      </c>
      <c r="H222" s="8" t="s">
        <v>331</v>
      </c>
      <c r="I222" t="str">
        <f t="shared" si="3"/>
        <v>Farm#2021-10-16</v>
      </c>
      <c r="J222" t="s">
        <v>660</v>
      </c>
    </row>
    <row r="223" spans="1:10">
      <c r="A223" t="s">
        <v>661</v>
      </c>
      <c r="B223" s="6">
        <v>44730</v>
      </c>
      <c r="C223">
        <v>2022</v>
      </c>
      <c r="D223">
        <v>6</v>
      </c>
      <c r="E223">
        <v>18</v>
      </c>
      <c r="F223" t="s">
        <v>219</v>
      </c>
      <c r="G223" t="str">
        <f>VLOOKUP(F223,'Pond name mapping'!B$3:C$91,2,FALSE)</f>
        <v>Farm</v>
      </c>
      <c r="H223" s="8" t="s">
        <v>311</v>
      </c>
      <c r="I223" t="str">
        <f t="shared" si="3"/>
        <v>Farm#2022-06-18</v>
      </c>
      <c r="J223" t="s">
        <v>661</v>
      </c>
    </row>
    <row r="224" spans="1:10">
      <c r="A224" t="s">
        <v>662</v>
      </c>
      <c r="B224" s="6">
        <v>44774</v>
      </c>
      <c r="C224">
        <v>2022</v>
      </c>
      <c r="D224">
        <v>8</v>
      </c>
      <c r="E224">
        <v>1</v>
      </c>
      <c r="F224" t="s">
        <v>219</v>
      </c>
      <c r="G224" t="str">
        <f>VLOOKUP(F224,'Pond name mapping'!B$3:C$91,2,FALSE)</f>
        <v>Farm</v>
      </c>
      <c r="H224" s="8" t="s">
        <v>317</v>
      </c>
      <c r="I224" t="str">
        <f t="shared" si="3"/>
        <v>Farm#2022-08-01</v>
      </c>
      <c r="J224" t="s">
        <v>663</v>
      </c>
    </row>
    <row r="225" spans="1:10">
      <c r="A225" t="s">
        <v>664</v>
      </c>
      <c r="B225" s="6">
        <v>44469</v>
      </c>
      <c r="C225">
        <v>2021</v>
      </c>
      <c r="D225">
        <v>9</v>
      </c>
      <c r="E225">
        <v>30</v>
      </c>
      <c r="F225" t="s">
        <v>219</v>
      </c>
      <c r="G225" t="str">
        <f>VLOOKUP(F225,'Pond name mapping'!B$3:C$91,2,FALSE)</f>
        <v>Farm</v>
      </c>
      <c r="H225" s="8" t="s">
        <v>665</v>
      </c>
      <c r="I225" t="str">
        <f t="shared" si="3"/>
        <v>Farm#2021-09-30</v>
      </c>
      <c r="J225" t="s">
        <v>664</v>
      </c>
    </row>
    <row r="226" spans="1:10">
      <c r="A226" t="s">
        <v>666</v>
      </c>
      <c r="B226" s="6">
        <v>44366</v>
      </c>
      <c r="C226">
        <v>2021</v>
      </c>
      <c r="D226">
        <v>6</v>
      </c>
      <c r="E226">
        <v>19</v>
      </c>
      <c r="F226" t="s">
        <v>42</v>
      </c>
      <c r="G226" t="str">
        <f>VLOOKUP(F226,'Pond name mapping'!B$3:C$91,2,FALSE)</f>
        <v>Flint</v>
      </c>
      <c r="H226" s="8" t="s">
        <v>303</v>
      </c>
      <c r="I226" t="str">
        <f t="shared" si="3"/>
        <v>Flint#2021-06-19</v>
      </c>
      <c r="J226" t="s">
        <v>666</v>
      </c>
    </row>
    <row r="227" spans="1:10">
      <c r="A227" t="s">
        <v>667</v>
      </c>
      <c r="B227" s="6">
        <v>44718</v>
      </c>
      <c r="C227">
        <v>2022</v>
      </c>
      <c r="D227">
        <v>6</v>
      </c>
      <c r="E227">
        <v>6</v>
      </c>
      <c r="F227" t="s">
        <v>42</v>
      </c>
      <c r="G227" t="str">
        <f>VLOOKUP(F227,'Pond name mapping'!B$3:C$91,2,FALSE)</f>
        <v>Flint</v>
      </c>
      <c r="H227" s="8" t="s">
        <v>309</v>
      </c>
      <c r="I227" t="str">
        <f t="shared" si="3"/>
        <v>Flint#2022-06-06</v>
      </c>
      <c r="J227" t="s">
        <v>667</v>
      </c>
    </row>
    <row r="228" spans="1:10">
      <c r="A228" t="s">
        <v>668</v>
      </c>
      <c r="B228" s="6">
        <v>44758</v>
      </c>
      <c r="C228">
        <v>2022</v>
      </c>
      <c r="D228">
        <v>7</v>
      </c>
      <c r="E228">
        <v>16</v>
      </c>
      <c r="F228" t="s">
        <v>42</v>
      </c>
      <c r="G228" t="str">
        <f>VLOOKUP(F228,'Pond name mapping'!B$3:C$91,2,FALSE)</f>
        <v>Flint</v>
      </c>
      <c r="H228" s="8" t="s">
        <v>315</v>
      </c>
      <c r="I228" t="str">
        <f t="shared" si="3"/>
        <v>Flint#2022-07-16</v>
      </c>
      <c r="J228" t="s">
        <v>668</v>
      </c>
    </row>
    <row r="229" spans="1:10">
      <c r="A229" t="s">
        <v>669</v>
      </c>
      <c r="B229" s="6">
        <v>44774</v>
      </c>
      <c r="C229">
        <v>2022</v>
      </c>
      <c r="D229">
        <v>8</v>
      </c>
      <c r="E229">
        <v>1</v>
      </c>
      <c r="F229" t="s">
        <v>42</v>
      </c>
      <c r="G229" t="str">
        <f>VLOOKUP(F229,'Pond name mapping'!B$3:C$91,2,FALSE)</f>
        <v>Flint</v>
      </c>
      <c r="H229" s="8" t="s">
        <v>317</v>
      </c>
      <c r="I229" t="str">
        <f t="shared" si="3"/>
        <v>Flint#2022-08-01</v>
      </c>
      <c r="J229" t="s">
        <v>670</v>
      </c>
    </row>
    <row r="230" spans="1:10">
      <c r="A230" t="s">
        <v>671</v>
      </c>
      <c r="B230" s="6">
        <v>44800</v>
      </c>
      <c r="C230">
        <v>2022</v>
      </c>
      <c r="D230">
        <v>8</v>
      </c>
      <c r="E230">
        <v>27</v>
      </c>
      <c r="F230" t="s">
        <v>42</v>
      </c>
      <c r="G230" t="str">
        <f>VLOOKUP(F230,'Pond name mapping'!B$3:C$91,2,FALSE)</f>
        <v>Flint</v>
      </c>
      <c r="H230" s="8" t="s">
        <v>376</v>
      </c>
      <c r="I230" t="str">
        <f t="shared" si="3"/>
        <v>Flint#2022-08-27</v>
      </c>
      <c r="J230" t="s">
        <v>671</v>
      </c>
    </row>
    <row r="231" spans="1:10">
      <c r="A231" t="s">
        <v>672</v>
      </c>
      <c r="B231" s="6">
        <v>44816</v>
      </c>
      <c r="C231">
        <v>2022</v>
      </c>
      <c r="D231">
        <v>9</v>
      </c>
      <c r="E231">
        <v>12</v>
      </c>
      <c r="F231" t="s">
        <v>42</v>
      </c>
      <c r="G231" t="str">
        <f>VLOOKUP(F231,'Pond name mapping'!B$3:C$91,2,FALSE)</f>
        <v>Flint</v>
      </c>
      <c r="H231" s="8" t="s">
        <v>320</v>
      </c>
      <c r="I231" t="str">
        <f t="shared" si="3"/>
        <v>Flint#2022-09-12</v>
      </c>
      <c r="J231" t="s">
        <v>672</v>
      </c>
    </row>
    <row r="232" spans="1:10">
      <c r="A232" t="s">
        <v>673</v>
      </c>
      <c r="B232" s="6">
        <v>44849</v>
      </c>
      <c r="C232">
        <v>2022</v>
      </c>
      <c r="D232">
        <v>10</v>
      </c>
      <c r="E232">
        <v>15</v>
      </c>
      <c r="F232" t="s">
        <v>42</v>
      </c>
      <c r="G232" t="str">
        <f>VLOOKUP(F232,'Pond name mapping'!B$3:C$91,2,FALSE)</f>
        <v>Flint</v>
      </c>
      <c r="H232" s="8" t="s">
        <v>379</v>
      </c>
      <c r="I232" t="str">
        <f t="shared" si="3"/>
        <v>Flint#2022-10-15</v>
      </c>
      <c r="J232" t="s">
        <v>674</v>
      </c>
    </row>
    <row r="233" spans="1:10">
      <c r="A233" t="s">
        <v>675</v>
      </c>
      <c r="B233" s="6">
        <v>44464</v>
      </c>
      <c r="C233">
        <v>2021</v>
      </c>
      <c r="D233">
        <v>9</v>
      </c>
      <c r="E233">
        <v>25</v>
      </c>
      <c r="F233" t="s">
        <v>42</v>
      </c>
      <c r="G233" t="str">
        <f>VLOOKUP(F233,'Pond name mapping'!B$3:C$91,2,FALSE)</f>
        <v>Flint</v>
      </c>
      <c r="H233" s="8" t="s">
        <v>329</v>
      </c>
      <c r="I233" t="str">
        <f t="shared" si="3"/>
        <v>Flint#2021-09-25</v>
      </c>
      <c r="J233" t="s">
        <v>675</v>
      </c>
    </row>
    <row r="234" spans="1:10">
      <c r="A234" t="s">
        <v>676</v>
      </c>
      <c r="B234" s="6">
        <v>44485</v>
      </c>
      <c r="C234">
        <v>2021</v>
      </c>
      <c r="D234">
        <v>10</v>
      </c>
      <c r="E234">
        <v>16</v>
      </c>
      <c r="F234" t="s">
        <v>42</v>
      </c>
      <c r="G234" t="str">
        <f>VLOOKUP(F234,'Pond name mapping'!B$3:C$91,2,FALSE)</f>
        <v>Flint</v>
      </c>
      <c r="H234" s="8" t="s">
        <v>331</v>
      </c>
      <c r="I234" t="str">
        <f t="shared" si="3"/>
        <v>Flint#2021-10-16</v>
      </c>
      <c r="J234" t="s">
        <v>676</v>
      </c>
    </row>
    <row r="235" spans="1:10">
      <c r="A235" t="s">
        <v>677</v>
      </c>
      <c r="B235" s="6">
        <v>44485</v>
      </c>
      <c r="C235">
        <v>2021</v>
      </c>
      <c r="D235">
        <v>10</v>
      </c>
      <c r="E235">
        <v>16</v>
      </c>
      <c r="F235" t="s">
        <v>42</v>
      </c>
      <c r="G235" t="str">
        <f>VLOOKUP(F235,'Pond name mapping'!B$3:C$91,2,FALSE)</f>
        <v>Flint</v>
      </c>
      <c r="H235" s="8" t="s">
        <v>331</v>
      </c>
      <c r="I235" t="str">
        <f t="shared" si="3"/>
        <v>Flint#2021-10-16</v>
      </c>
      <c r="J235" t="s">
        <v>677</v>
      </c>
    </row>
    <row r="236" spans="1:10">
      <c r="A236" t="s">
        <v>678</v>
      </c>
      <c r="B236" s="6">
        <v>44683</v>
      </c>
      <c r="C236">
        <v>2022</v>
      </c>
      <c r="D236">
        <v>5</v>
      </c>
      <c r="E236">
        <v>2</v>
      </c>
      <c r="F236" t="s">
        <v>220</v>
      </c>
      <c r="G236" t="str">
        <f>VLOOKUP(F236,'Pond name mapping'!B$3:C$91,2,FALSE)</f>
        <v>Flint</v>
      </c>
      <c r="H236" s="8" t="s">
        <v>305</v>
      </c>
      <c r="I236" t="str">
        <f t="shared" si="3"/>
        <v>Flint#2022-05-02</v>
      </c>
      <c r="J236" t="s">
        <v>678</v>
      </c>
    </row>
    <row r="237" spans="1:10">
      <c r="A237" t="s">
        <v>679</v>
      </c>
      <c r="B237" s="6">
        <v>44837</v>
      </c>
      <c r="C237">
        <v>2022</v>
      </c>
      <c r="D237">
        <v>10</v>
      </c>
      <c r="E237">
        <v>3</v>
      </c>
      <c r="F237" t="s">
        <v>221</v>
      </c>
      <c r="G237" t="str">
        <f>VLOOKUP(F237,'Pond name mapping'!B$3:C$91,2,FALSE)</f>
        <v>Green.Hill</v>
      </c>
      <c r="H237" s="8" t="s">
        <v>326</v>
      </c>
      <c r="I237" t="str">
        <f t="shared" si="3"/>
        <v>Green.Hill#2022-10-03</v>
      </c>
      <c r="J237" t="s">
        <v>680</v>
      </c>
    </row>
    <row r="238" spans="1:10">
      <c r="A238" t="s">
        <v>681</v>
      </c>
      <c r="B238" s="6">
        <v>45045</v>
      </c>
      <c r="C238">
        <v>2023</v>
      </c>
      <c r="D238">
        <v>4</v>
      </c>
      <c r="E238">
        <v>29</v>
      </c>
      <c r="F238" t="s">
        <v>222</v>
      </c>
      <c r="G238" t="str">
        <f>VLOOKUP(F238,'Pond name mapping'!B$3:C$91,2,FALSE)</f>
        <v>Green.Hill</v>
      </c>
      <c r="H238" s="8" t="s">
        <v>300</v>
      </c>
      <c r="I238" t="str">
        <f t="shared" si="3"/>
        <v>Green.Hill#2023-04-29</v>
      </c>
      <c r="J238" t="s">
        <v>682</v>
      </c>
    </row>
    <row r="239" spans="1:10">
      <c r="A239" t="s">
        <v>683</v>
      </c>
      <c r="B239" s="6">
        <v>45061</v>
      </c>
      <c r="C239">
        <v>2023</v>
      </c>
      <c r="D239">
        <v>5</v>
      </c>
      <c r="E239">
        <v>15</v>
      </c>
      <c r="F239" t="s">
        <v>223</v>
      </c>
      <c r="G239" t="str">
        <f>VLOOKUP(F239,'Pond name mapping'!B$3:C$91,2,FALSE)</f>
        <v>Green.Hill</v>
      </c>
      <c r="H239" s="8" t="s">
        <v>187</v>
      </c>
      <c r="I239" t="str">
        <f t="shared" si="3"/>
        <v>Green.Hill#2023-05-15</v>
      </c>
      <c r="J239" t="s">
        <v>684</v>
      </c>
    </row>
    <row r="240" spans="1:10">
      <c r="A240" t="s">
        <v>685</v>
      </c>
      <c r="B240" s="6">
        <v>45101</v>
      </c>
      <c r="C240">
        <v>2023</v>
      </c>
      <c r="D240">
        <v>6</v>
      </c>
      <c r="E240">
        <v>24</v>
      </c>
      <c r="F240" t="s">
        <v>223</v>
      </c>
      <c r="G240" t="str">
        <f>VLOOKUP(F240,'Pond name mapping'!B$3:C$91,2,FALSE)</f>
        <v>Green.Hill</v>
      </c>
      <c r="H240" s="8" t="s">
        <v>283</v>
      </c>
      <c r="I240" t="str">
        <f t="shared" si="3"/>
        <v>Green.Hill#2023-06-24</v>
      </c>
      <c r="J240" t="s">
        <v>686</v>
      </c>
    </row>
    <row r="241" spans="1:10">
      <c r="A241" t="s">
        <v>687</v>
      </c>
      <c r="B241" s="6">
        <v>45117</v>
      </c>
      <c r="C241">
        <v>2023</v>
      </c>
      <c r="D241">
        <v>7</v>
      </c>
      <c r="E241">
        <v>10</v>
      </c>
      <c r="F241" t="s">
        <v>223</v>
      </c>
      <c r="G241" t="str">
        <f>VLOOKUP(F241,'Pond name mapping'!B$3:C$91,2,FALSE)</f>
        <v>Green.Hill</v>
      </c>
      <c r="H241" s="8" t="s">
        <v>182</v>
      </c>
      <c r="I241" t="str">
        <f t="shared" si="3"/>
        <v>Green.Hill#2023-07-10</v>
      </c>
      <c r="J241" t="s">
        <v>688</v>
      </c>
    </row>
    <row r="242" spans="1:10">
      <c r="A242" t="s">
        <v>689</v>
      </c>
      <c r="B242" s="6">
        <v>45129</v>
      </c>
      <c r="C242">
        <v>2023</v>
      </c>
      <c r="D242">
        <v>7</v>
      </c>
      <c r="E242">
        <v>22</v>
      </c>
      <c r="F242" t="s">
        <v>223</v>
      </c>
      <c r="G242" t="str">
        <f>VLOOKUP(F242,'Pond name mapping'!B$3:C$91,2,FALSE)</f>
        <v>Green.Hill</v>
      </c>
      <c r="H242" s="8" t="s">
        <v>183</v>
      </c>
      <c r="I242" t="str">
        <f t="shared" si="3"/>
        <v>Green.Hill#2023-07-22</v>
      </c>
      <c r="J242" t="s">
        <v>690</v>
      </c>
    </row>
    <row r="243" spans="1:10">
      <c r="A243" t="s">
        <v>691</v>
      </c>
      <c r="B243" s="6">
        <v>45145</v>
      </c>
      <c r="C243">
        <v>2023</v>
      </c>
      <c r="D243">
        <v>8</v>
      </c>
      <c r="E243">
        <v>7</v>
      </c>
      <c r="F243" t="s">
        <v>223</v>
      </c>
      <c r="G243" t="str">
        <f>VLOOKUP(F243,'Pond name mapping'!B$3:C$91,2,FALSE)</f>
        <v>Green.Hill</v>
      </c>
      <c r="H243" s="8" t="s">
        <v>180</v>
      </c>
      <c r="I243" t="str">
        <f t="shared" si="3"/>
        <v>Green.Hill#2023-08-07</v>
      </c>
      <c r="J243" t="s">
        <v>692</v>
      </c>
    </row>
    <row r="244" spans="1:10">
      <c r="A244" t="s">
        <v>693</v>
      </c>
      <c r="B244" s="6">
        <v>45157</v>
      </c>
      <c r="C244">
        <v>2023</v>
      </c>
      <c r="D244">
        <v>8</v>
      </c>
      <c r="E244">
        <v>19</v>
      </c>
      <c r="F244" t="s">
        <v>223</v>
      </c>
      <c r="G244" t="str">
        <f>VLOOKUP(F244,'Pond name mapping'!B$3:C$91,2,FALSE)</f>
        <v>Green.Hill</v>
      </c>
      <c r="H244" s="8" t="s">
        <v>184</v>
      </c>
      <c r="I244" t="str">
        <f t="shared" si="3"/>
        <v>Green.Hill#2023-08-19</v>
      </c>
      <c r="J244" t="s">
        <v>694</v>
      </c>
    </row>
    <row r="245" spans="1:10">
      <c r="A245" t="s">
        <v>695</v>
      </c>
      <c r="B245" s="6">
        <v>45174</v>
      </c>
      <c r="C245">
        <v>2023</v>
      </c>
      <c r="D245">
        <v>9</v>
      </c>
      <c r="E245">
        <v>5</v>
      </c>
      <c r="F245" t="s">
        <v>223</v>
      </c>
      <c r="G245" t="str">
        <f>VLOOKUP(F245,'Pond name mapping'!B$3:C$91,2,FALSE)</f>
        <v>Green.Hill</v>
      </c>
      <c r="H245" s="8" t="s">
        <v>185</v>
      </c>
      <c r="I245" t="str">
        <f t="shared" si="3"/>
        <v>Green.Hill#2023-09-05</v>
      </c>
      <c r="J245" t="s">
        <v>696</v>
      </c>
    </row>
    <row r="246" spans="1:10">
      <c r="A246" t="s">
        <v>697</v>
      </c>
      <c r="B246" s="6">
        <v>45185</v>
      </c>
      <c r="C246">
        <v>2023</v>
      </c>
      <c r="D246">
        <v>9</v>
      </c>
      <c r="E246">
        <v>16</v>
      </c>
      <c r="F246" t="s">
        <v>223</v>
      </c>
      <c r="G246" t="str">
        <f>VLOOKUP(F246,'Pond name mapping'!B$3:C$91,2,FALSE)</f>
        <v>Green.Hill</v>
      </c>
      <c r="H246" s="8" t="s">
        <v>181</v>
      </c>
      <c r="I246" t="str">
        <f t="shared" si="3"/>
        <v>Green.Hill#2023-09-16</v>
      </c>
      <c r="J246" t="s">
        <v>698</v>
      </c>
    </row>
    <row r="247" spans="1:10">
      <c r="A247" t="s">
        <v>699</v>
      </c>
      <c r="B247" s="6">
        <v>45185</v>
      </c>
      <c r="C247">
        <v>2023</v>
      </c>
      <c r="D247">
        <v>9</v>
      </c>
      <c r="E247">
        <v>16</v>
      </c>
      <c r="F247" t="s">
        <v>223</v>
      </c>
      <c r="G247" t="str">
        <f>VLOOKUP(F247,'Pond name mapping'!B$3:C$91,2,FALSE)</f>
        <v>Green.Hill</v>
      </c>
      <c r="H247" s="8" t="s">
        <v>181</v>
      </c>
      <c r="I247" t="str">
        <f t="shared" si="3"/>
        <v>Green.Hill#2023-09-16</v>
      </c>
      <c r="J247" t="s">
        <v>700</v>
      </c>
    </row>
    <row r="248" spans="1:10">
      <c r="A248" t="s">
        <v>701</v>
      </c>
      <c r="B248" s="6">
        <v>45201</v>
      </c>
      <c r="C248">
        <v>2023</v>
      </c>
      <c r="D248">
        <v>10</v>
      </c>
      <c r="E248">
        <v>2</v>
      </c>
      <c r="F248" t="s">
        <v>223</v>
      </c>
      <c r="G248" t="str">
        <f>VLOOKUP(F248,'Pond name mapping'!B$3:C$91,2,FALSE)</f>
        <v>Green.Hill</v>
      </c>
      <c r="H248" s="8" t="s">
        <v>190</v>
      </c>
      <c r="I248" t="str">
        <f t="shared" si="3"/>
        <v>Green.Hill#2023-10-02</v>
      </c>
      <c r="J248" t="s">
        <v>702</v>
      </c>
    </row>
    <row r="249" spans="1:10">
      <c r="A249" t="s">
        <v>703</v>
      </c>
      <c r="B249" s="6">
        <v>45213</v>
      </c>
      <c r="C249">
        <v>2023</v>
      </c>
      <c r="D249">
        <v>10</v>
      </c>
      <c r="E249">
        <v>14</v>
      </c>
      <c r="F249" t="s">
        <v>223</v>
      </c>
      <c r="G249" t="str">
        <f>VLOOKUP(F249,'Pond name mapping'!B$3:C$91,2,FALSE)</f>
        <v>Green.Hill</v>
      </c>
      <c r="H249" s="8" t="s">
        <v>186</v>
      </c>
      <c r="I249" t="str">
        <f t="shared" si="3"/>
        <v>Green.Hill#2023-10-14</v>
      </c>
      <c r="J249" t="s">
        <v>704</v>
      </c>
    </row>
    <row r="250" spans="1:10">
      <c r="A250" t="s">
        <v>705</v>
      </c>
      <c r="B250" s="6">
        <v>45229</v>
      </c>
      <c r="C250">
        <v>2023</v>
      </c>
      <c r="D250">
        <v>10</v>
      </c>
      <c r="E250">
        <v>30</v>
      </c>
      <c r="F250" t="s">
        <v>223</v>
      </c>
      <c r="G250" t="str">
        <f>VLOOKUP(F250,'Pond name mapping'!B$3:C$91,2,FALSE)</f>
        <v>Green.Hill</v>
      </c>
      <c r="H250" s="8" t="s">
        <v>355</v>
      </c>
      <c r="I250" t="str">
        <f t="shared" si="3"/>
        <v>Green.Hill#2023-10-30</v>
      </c>
      <c r="J250" t="s">
        <v>706</v>
      </c>
    </row>
    <row r="251" spans="1:10">
      <c r="A251" t="s">
        <v>707</v>
      </c>
      <c r="B251" s="6">
        <v>45073</v>
      </c>
      <c r="C251">
        <v>2023</v>
      </c>
      <c r="D251">
        <v>5</v>
      </c>
      <c r="E251">
        <v>27</v>
      </c>
      <c r="F251" t="s">
        <v>224</v>
      </c>
      <c r="G251" t="str">
        <f>VLOOKUP(F251,'Pond name mapping'!B$3:C$91,2,FALSE)</f>
        <v>Green.Hill</v>
      </c>
      <c r="H251" s="8" t="s">
        <v>188</v>
      </c>
      <c r="I251" t="str">
        <f t="shared" si="3"/>
        <v>Green.Hill#2023-05-27</v>
      </c>
      <c r="J251" t="s">
        <v>708</v>
      </c>
    </row>
    <row r="252" spans="1:10">
      <c r="A252" t="s">
        <v>709</v>
      </c>
      <c r="B252" s="6">
        <v>45089</v>
      </c>
      <c r="C252">
        <v>2023</v>
      </c>
      <c r="D252">
        <v>6</v>
      </c>
      <c r="E252">
        <v>12</v>
      </c>
      <c r="F252" t="s">
        <v>224</v>
      </c>
      <c r="G252" t="str">
        <f>VLOOKUP(F252,'Pond name mapping'!B$3:C$91,2,FALSE)</f>
        <v>Green.Hill</v>
      </c>
      <c r="H252" s="8" t="s">
        <v>189</v>
      </c>
      <c r="I252" t="str">
        <f t="shared" si="3"/>
        <v>Green.Hill#2023-06-12</v>
      </c>
      <c r="J252" t="s">
        <v>710</v>
      </c>
    </row>
    <row r="253" spans="1:10">
      <c r="A253" t="s">
        <v>711</v>
      </c>
      <c r="B253" s="6">
        <v>44366</v>
      </c>
      <c r="C253">
        <v>2021</v>
      </c>
      <c r="D253">
        <v>6</v>
      </c>
      <c r="E253">
        <v>19</v>
      </c>
      <c r="F253" t="s">
        <v>224</v>
      </c>
      <c r="G253" t="str">
        <f>VLOOKUP(F253,'Pond name mapping'!B$3:C$91,2,FALSE)</f>
        <v>Green.Hill</v>
      </c>
      <c r="H253" s="8" t="s">
        <v>303</v>
      </c>
      <c r="I253" t="str">
        <f t="shared" si="3"/>
        <v>Green.Hill#2021-06-19</v>
      </c>
      <c r="J253" t="s">
        <v>712</v>
      </c>
    </row>
    <row r="254" spans="1:10">
      <c r="A254" t="s">
        <v>713</v>
      </c>
      <c r="B254" s="6">
        <v>44774</v>
      </c>
      <c r="C254">
        <v>2022</v>
      </c>
      <c r="D254">
        <v>8</v>
      </c>
      <c r="E254">
        <v>1</v>
      </c>
      <c r="F254" t="s">
        <v>224</v>
      </c>
      <c r="G254" t="str">
        <f>VLOOKUP(F254,'Pond name mapping'!B$3:C$91,2,FALSE)</f>
        <v>Green.Hill</v>
      </c>
      <c r="H254" s="8" t="s">
        <v>317</v>
      </c>
      <c r="I254" t="str">
        <f t="shared" si="3"/>
        <v>Green.Hill#2022-08-01</v>
      </c>
      <c r="J254" t="s">
        <v>714</v>
      </c>
    </row>
    <row r="255" spans="1:10">
      <c r="A255" t="s">
        <v>715</v>
      </c>
      <c r="B255" s="6">
        <v>44800</v>
      </c>
      <c r="C255">
        <v>2022</v>
      </c>
      <c r="D255">
        <v>8</v>
      </c>
      <c r="E255">
        <v>27</v>
      </c>
      <c r="F255" t="s">
        <v>224</v>
      </c>
      <c r="G255" t="str">
        <f>VLOOKUP(F255,'Pond name mapping'!B$3:C$91,2,FALSE)</f>
        <v>Green.Hill</v>
      </c>
      <c r="H255" s="8" t="s">
        <v>376</v>
      </c>
      <c r="I255" t="str">
        <f t="shared" si="3"/>
        <v>Green.Hill#2022-08-27</v>
      </c>
      <c r="J255" t="s">
        <v>716</v>
      </c>
    </row>
    <row r="256" spans="1:10">
      <c r="A256" t="s">
        <v>717</v>
      </c>
      <c r="B256" s="6">
        <v>44816</v>
      </c>
      <c r="C256">
        <v>2022</v>
      </c>
      <c r="D256">
        <v>9</v>
      </c>
      <c r="E256">
        <v>12</v>
      </c>
      <c r="F256" t="s">
        <v>224</v>
      </c>
      <c r="G256" t="str">
        <f>VLOOKUP(F256,'Pond name mapping'!B$3:C$91,2,FALSE)</f>
        <v>Green.Hill</v>
      </c>
      <c r="H256" s="8" t="s">
        <v>320</v>
      </c>
      <c r="I256" t="str">
        <f t="shared" si="3"/>
        <v>Green.Hill#2022-09-12</v>
      </c>
      <c r="J256" t="s">
        <v>718</v>
      </c>
    </row>
    <row r="257" spans="1:10">
      <c r="A257" t="s">
        <v>719</v>
      </c>
      <c r="B257" s="6">
        <v>44702</v>
      </c>
      <c r="C257">
        <v>2022</v>
      </c>
      <c r="D257">
        <v>5</v>
      </c>
      <c r="E257">
        <v>21</v>
      </c>
      <c r="F257" t="s">
        <v>224</v>
      </c>
      <c r="G257" t="str">
        <f>VLOOKUP(F257,'Pond name mapping'!B$3:C$91,2,FALSE)</f>
        <v>Green.Hill</v>
      </c>
      <c r="H257" s="8" t="s">
        <v>307</v>
      </c>
      <c r="I257" t="str">
        <f t="shared" si="3"/>
        <v>Green.Hill#2022-05-21</v>
      </c>
      <c r="J257" t="s">
        <v>719</v>
      </c>
    </row>
    <row r="258" spans="1:10">
      <c r="A258" t="s">
        <v>720</v>
      </c>
      <c r="B258" s="6">
        <v>44718</v>
      </c>
      <c r="C258">
        <v>2022</v>
      </c>
      <c r="D258">
        <v>6</v>
      </c>
      <c r="E258">
        <v>6</v>
      </c>
      <c r="F258" t="s">
        <v>224</v>
      </c>
      <c r="G258" t="str">
        <f>VLOOKUP(F258,'Pond name mapping'!B$3:C$91,2,FALSE)</f>
        <v>Green.Hill</v>
      </c>
      <c r="H258" s="8" t="s">
        <v>309</v>
      </c>
      <c r="I258" t="str">
        <f t="shared" si="3"/>
        <v>Green.Hill#2022-06-06</v>
      </c>
      <c r="J258" t="s">
        <v>720</v>
      </c>
    </row>
    <row r="259" spans="1:10">
      <c r="A259" t="s">
        <v>721</v>
      </c>
      <c r="B259" s="6">
        <v>44758</v>
      </c>
      <c r="C259">
        <v>2022</v>
      </c>
      <c r="D259">
        <v>7</v>
      </c>
      <c r="E259">
        <v>16</v>
      </c>
      <c r="F259" t="s">
        <v>224</v>
      </c>
      <c r="G259" t="str">
        <f>VLOOKUP(F259,'Pond name mapping'!B$3:C$91,2,FALSE)</f>
        <v>Green.Hill</v>
      </c>
      <c r="H259" s="8" t="s">
        <v>315</v>
      </c>
      <c r="I259" t="str">
        <f t="shared" si="3"/>
        <v>Green.Hill#2022-07-16</v>
      </c>
      <c r="J259" t="s">
        <v>722</v>
      </c>
    </row>
    <row r="260" spans="1:10">
      <c r="A260" t="s">
        <v>723</v>
      </c>
      <c r="B260" s="6">
        <v>44828</v>
      </c>
      <c r="C260">
        <v>2022</v>
      </c>
      <c r="D260">
        <v>9</v>
      </c>
      <c r="E260">
        <v>24</v>
      </c>
      <c r="F260" t="s">
        <v>224</v>
      </c>
      <c r="G260" t="str">
        <f>VLOOKUP(F260,'Pond name mapping'!B$3:C$91,2,FALSE)</f>
        <v>Green.Hill</v>
      </c>
      <c r="H260" s="8" t="s">
        <v>324</v>
      </c>
      <c r="I260" t="str">
        <f t="shared" si="3"/>
        <v>Green.Hill#2022-09-24</v>
      </c>
      <c r="J260" t="s">
        <v>723</v>
      </c>
    </row>
    <row r="261" spans="1:10">
      <c r="A261" t="s">
        <v>724</v>
      </c>
      <c r="B261" s="6">
        <v>44849</v>
      </c>
      <c r="C261">
        <v>2022</v>
      </c>
      <c r="D261">
        <v>10</v>
      </c>
      <c r="E261">
        <v>15</v>
      </c>
      <c r="F261" t="s">
        <v>224</v>
      </c>
      <c r="G261" t="str">
        <f>VLOOKUP(F261,'Pond name mapping'!B$3:C$91,2,FALSE)</f>
        <v>Green.Hill</v>
      </c>
      <c r="H261" s="8" t="s">
        <v>379</v>
      </c>
      <c r="I261" t="str">
        <f t="shared" ref="I261:I324" si="4">CONCATENATE(G261,"#",H261)</f>
        <v>Green.Hill#2022-10-15</v>
      </c>
      <c r="J261" t="s">
        <v>725</v>
      </c>
    </row>
    <row r="262" spans="1:10">
      <c r="A262" t="s">
        <v>726</v>
      </c>
      <c r="B262" s="6">
        <v>44683</v>
      </c>
      <c r="C262">
        <v>2022</v>
      </c>
      <c r="D262">
        <v>5</v>
      </c>
      <c r="E262">
        <v>2</v>
      </c>
      <c r="F262" t="s">
        <v>225</v>
      </c>
      <c r="G262" t="str">
        <f>VLOOKUP(F262,'Pond name mapping'!B$3:C$91,2,FALSE)</f>
        <v>Green.Hill</v>
      </c>
      <c r="H262" s="8" t="s">
        <v>305</v>
      </c>
      <c r="I262" t="str">
        <f t="shared" si="4"/>
        <v>Green.Hill#2022-05-02</v>
      </c>
      <c r="J262" t="s">
        <v>726</v>
      </c>
    </row>
    <row r="263" spans="1:10">
      <c r="A263" t="s">
        <v>727</v>
      </c>
      <c r="B263" s="6">
        <v>44747</v>
      </c>
      <c r="C263">
        <v>2022</v>
      </c>
      <c r="D263">
        <v>7</v>
      </c>
      <c r="E263">
        <v>5</v>
      </c>
      <c r="F263" t="s">
        <v>225</v>
      </c>
      <c r="G263" t="str">
        <f>VLOOKUP(F263,'Pond name mapping'!B$3:C$91,2,FALSE)</f>
        <v>Green.Hill</v>
      </c>
      <c r="H263" s="8" t="s">
        <v>313</v>
      </c>
      <c r="I263" t="str">
        <f t="shared" si="4"/>
        <v>Green.Hill#2022-07-05</v>
      </c>
      <c r="J263" t="s">
        <v>727</v>
      </c>
    </row>
    <row r="264" spans="1:10">
      <c r="A264" t="s">
        <v>728</v>
      </c>
      <c r="B264" s="6">
        <v>45061</v>
      </c>
      <c r="C264">
        <v>2023</v>
      </c>
      <c r="D264">
        <v>5</v>
      </c>
      <c r="E264">
        <v>15</v>
      </c>
      <c r="F264" t="s">
        <v>226</v>
      </c>
      <c r="G264" t="str">
        <f>VLOOKUP(F264,'Pond name mapping'!B$3:C$91,2,FALSE)</f>
        <v>Indian</v>
      </c>
      <c r="H264" s="8" t="s">
        <v>187</v>
      </c>
      <c r="I264" t="str">
        <f t="shared" si="4"/>
        <v>Indian#2023-05-15</v>
      </c>
      <c r="J264" t="s">
        <v>729</v>
      </c>
    </row>
    <row r="265" spans="1:10">
      <c r="A265" t="s">
        <v>730</v>
      </c>
      <c r="B265" s="6">
        <v>45061</v>
      </c>
      <c r="C265">
        <v>2023</v>
      </c>
      <c r="D265">
        <v>5</v>
      </c>
      <c r="E265">
        <v>15</v>
      </c>
      <c r="F265" t="s">
        <v>227</v>
      </c>
      <c r="G265" t="str">
        <f>VLOOKUP(F265,'Pond name mapping'!B$3:C$91,2,FALSE)</f>
        <v>Indian</v>
      </c>
      <c r="H265" s="8" t="s">
        <v>187</v>
      </c>
      <c r="I265" t="str">
        <f t="shared" si="4"/>
        <v>Indian#2023-05-15</v>
      </c>
      <c r="J265" t="s">
        <v>731</v>
      </c>
    </row>
    <row r="266" spans="1:10">
      <c r="A266" t="s">
        <v>732</v>
      </c>
      <c r="B266" s="6">
        <v>45045</v>
      </c>
      <c r="C266">
        <v>2023</v>
      </c>
      <c r="D266">
        <v>4</v>
      </c>
      <c r="E266">
        <v>29</v>
      </c>
      <c r="F266" t="s">
        <v>228</v>
      </c>
      <c r="G266" t="str">
        <f>VLOOKUP(F266,'Pond name mapping'!B$3:C$91,2,FALSE)</f>
        <v>Indian</v>
      </c>
      <c r="H266" s="8" t="s">
        <v>300</v>
      </c>
      <c r="I266" t="str">
        <f t="shared" si="4"/>
        <v>Indian#2023-04-29</v>
      </c>
      <c r="J266" t="s">
        <v>733</v>
      </c>
    </row>
    <row r="267" spans="1:10">
      <c r="A267" t="s">
        <v>734</v>
      </c>
      <c r="B267" s="6">
        <v>45073</v>
      </c>
      <c r="C267">
        <v>2023</v>
      </c>
      <c r="D267">
        <v>5</v>
      </c>
      <c r="E267">
        <v>27</v>
      </c>
      <c r="F267" t="s">
        <v>228</v>
      </c>
      <c r="G267" t="str">
        <f>VLOOKUP(F267,'Pond name mapping'!B$3:C$91,2,FALSE)</f>
        <v>Indian</v>
      </c>
      <c r="H267" s="8" t="s">
        <v>188</v>
      </c>
      <c r="I267" t="str">
        <f t="shared" si="4"/>
        <v>Indian#2023-05-27</v>
      </c>
      <c r="J267" t="s">
        <v>735</v>
      </c>
    </row>
    <row r="268" spans="1:10">
      <c r="A268" t="s">
        <v>736</v>
      </c>
      <c r="B268" s="6">
        <v>45089</v>
      </c>
      <c r="C268">
        <v>2023</v>
      </c>
      <c r="D268">
        <v>6</v>
      </c>
      <c r="E268">
        <v>12</v>
      </c>
      <c r="F268" t="s">
        <v>228</v>
      </c>
      <c r="G268" t="str">
        <f>VLOOKUP(F268,'Pond name mapping'!B$3:C$91,2,FALSE)</f>
        <v>Indian</v>
      </c>
      <c r="H268" s="8" t="s">
        <v>189</v>
      </c>
      <c r="I268" t="str">
        <f t="shared" si="4"/>
        <v>Indian#2023-06-12</v>
      </c>
      <c r="J268" t="s">
        <v>737</v>
      </c>
    </row>
    <row r="269" spans="1:10">
      <c r="A269" t="s">
        <v>738</v>
      </c>
      <c r="B269" s="6">
        <v>45101</v>
      </c>
      <c r="C269">
        <v>2023</v>
      </c>
      <c r="D269">
        <v>6</v>
      </c>
      <c r="E269">
        <v>24</v>
      </c>
      <c r="F269" t="s">
        <v>228</v>
      </c>
      <c r="G269" t="str">
        <f>VLOOKUP(F269,'Pond name mapping'!B$3:C$91,2,FALSE)</f>
        <v>Indian</v>
      </c>
      <c r="H269" s="8" t="s">
        <v>283</v>
      </c>
      <c r="I269" t="str">
        <f t="shared" si="4"/>
        <v>Indian#2023-06-24</v>
      </c>
      <c r="J269" t="s">
        <v>739</v>
      </c>
    </row>
    <row r="270" spans="1:10">
      <c r="A270" t="s">
        <v>740</v>
      </c>
      <c r="B270" s="6">
        <v>45117</v>
      </c>
      <c r="C270">
        <v>2023</v>
      </c>
      <c r="D270">
        <v>7</v>
      </c>
      <c r="E270">
        <v>10</v>
      </c>
      <c r="F270" t="s">
        <v>228</v>
      </c>
      <c r="G270" t="str">
        <f>VLOOKUP(F270,'Pond name mapping'!B$3:C$91,2,FALSE)</f>
        <v>Indian</v>
      </c>
      <c r="H270" s="8" t="s">
        <v>182</v>
      </c>
      <c r="I270" t="str">
        <f t="shared" si="4"/>
        <v>Indian#2023-07-10</v>
      </c>
      <c r="J270" t="s">
        <v>741</v>
      </c>
    </row>
    <row r="271" spans="1:10">
      <c r="A271" t="s">
        <v>742</v>
      </c>
      <c r="B271" s="6">
        <v>45129</v>
      </c>
      <c r="C271">
        <v>2023</v>
      </c>
      <c r="D271">
        <v>7</v>
      </c>
      <c r="E271">
        <v>22</v>
      </c>
      <c r="F271" t="s">
        <v>228</v>
      </c>
      <c r="G271" t="str">
        <f>VLOOKUP(F271,'Pond name mapping'!B$3:C$91,2,FALSE)</f>
        <v>Indian</v>
      </c>
      <c r="H271" s="8" t="s">
        <v>183</v>
      </c>
      <c r="I271" t="str">
        <f t="shared" si="4"/>
        <v>Indian#2023-07-22</v>
      </c>
      <c r="J271" t="s">
        <v>743</v>
      </c>
    </row>
    <row r="272" spans="1:10">
      <c r="A272" t="s">
        <v>744</v>
      </c>
      <c r="B272" s="6">
        <v>45145</v>
      </c>
      <c r="C272">
        <v>2023</v>
      </c>
      <c r="D272">
        <v>8</v>
      </c>
      <c r="E272">
        <v>7</v>
      </c>
      <c r="F272" t="s">
        <v>228</v>
      </c>
      <c r="G272" t="str">
        <f>VLOOKUP(F272,'Pond name mapping'!B$3:C$91,2,FALSE)</f>
        <v>Indian</v>
      </c>
      <c r="H272" s="8" t="s">
        <v>180</v>
      </c>
      <c r="I272" t="str">
        <f t="shared" si="4"/>
        <v>Indian#2023-08-07</v>
      </c>
      <c r="J272" t="s">
        <v>745</v>
      </c>
    </row>
    <row r="273" spans="1:10">
      <c r="A273" t="s">
        <v>746</v>
      </c>
      <c r="B273" s="6">
        <v>45157</v>
      </c>
      <c r="C273">
        <v>2023</v>
      </c>
      <c r="D273">
        <v>8</v>
      </c>
      <c r="E273">
        <v>19</v>
      </c>
      <c r="F273" t="s">
        <v>228</v>
      </c>
      <c r="G273" t="str">
        <f>VLOOKUP(F273,'Pond name mapping'!B$3:C$91,2,FALSE)</f>
        <v>Indian</v>
      </c>
      <c r="H273" s="8" t="s">
        <v>184</v>
      </c>
      <c r="I273" t="str">
        <f t="shared" si="4"/>
        <v>Indian#2023-08-19</v>
      </c>
      <c r="J273" t="s">
        <v>747</v>
      </c>
    </row>
    <row r="274" spans="1:10">
      <c r="A274" t="s">
        <v>748</v>
      </c>
      <c r="B274" s="6">
        <v>45174</v>
      </c>
      <c r="C274">
        <v>2023</v>
      </c>
      <c r="D274">
        <v>9</v>
      </c>
      <c r="E274">
        <v>5</v>
      </c>
      <c r="F274" t="s">
        <v>228</v>
      </c>
      <c r="G274" t="str">
        <f>VLOOKUP(F274,'Pond name mapping'!B$3:C$91,2,FALSE)</f>
        <v>Indian</v>
      </c>
      <c r="H274" s="8" t="s">
        <v>185</v>
      </c>
      <c r="I274" t="str">
        <f t="shared" si="4"/>
        <v>Indian#2023-09-05</v>
      </c>
      <c r="J274" t="s">
        <v>749</v>
      </c>
    </row>
    <row r="275" spans="1:10">
      <c r="A275" t="s">
        <v>750</v>
      </c>
      <c r="B275" s="6">
        <v>45185</v>
      </c>
      <c r="C275">
        <v>2023</v>
      </c>
      <c r="D275">
        <v>9</v>
      </c>
      <c r="E275">
        <v>16</v>
      </c>
      <c r="F275" t="s">
        <v>228</v>
      </c>
      <c r="G275" t="str">
        <f>VLOOKUP(F275,'Pond name mapping'!B$3:C$91,2,FALSE)</f>
        <v>Indian</v>
      </c>
      <c r="H275" s="8" t="s">
        <v>181</v>
      </c>
      <c r="I275" t="str">
        <f t="shared" si="4"/>
        <v>Indian#2023-09-16</v>
      </c>
      <c r="J275" t="s">
        <v>751</v>
      </c>
    </row>
    <row r="276" spans="1:10">
      <c r="A276" t="s">
        <v>752</v>
      </c>
      <c r="B276" s="6">
        <v>45201</v>
      </c>
      <c r="C276">
        <v>2023</v>
      </c>
      <c r="D276">
        <v>10</v>
      </c>
      <c r="E276">
        <v>2</v>
      </c>
      <c r="F276" t="s">
        <v>228</v>
      </c>
      <c r="G276" t="str">
        <f>VLOOKUP(F276,'Pond name mapping'!B$3:C$91,2,FALSE)</f>
        <v>Indian</v>
      </c>
      <c r="H276" s="8" t="s">
        <v>190</v>
      </c>
      <c r="I276" t="str">
        <f t="shared" si="4"/>
        <v>Indian#2023-10-02</v>
      </c>
      <c r="J276" t="s">
        <v>753</v>
      </c>
    </row>
    <row r="277" spans="1:10">
      <c r="A277" t="s">
        <v>754</v>
      </c>
      <c r="B277" s="6">
        <v>45213</v>
      </c>
      <c r="C277">
        <v>2023</v>
      </c>
      <c r="D277">
        <v>10</v>
      </c>
      <c r="E277">
        <v>14</v>
      </c>
      <c r="F277" t="s">
        <v>228</v>
      </c>
      <c r="G277" t="str">
        <f>VLOOKUP(F277,'Pond name mapping'!B$3:C$91,2,FALSE)</f>
        <v>Indian</v>
      </c>
      <c r="H277" s="8" t="s">
        <v>186</v>
      </c>
      <c r="I277" t="str">
        <f t="shared" si="4"/>
        <v>Indian#2023-10-14</v>
      </c>
      <c r="J277" t="s">
        <v>755</v>
      </c>
    </row>
    <row r="278" spans="1:10">
      <c r="A278" t="s">
        <v>756</v>
      </c>
      <c r="B278" s="6">
        <v>45229</v>
      </c>
      <c r="C278">
        <v>2023</v>
      </c>
      <c r="D278">
        <v>10</v>
      </c>
      <c r="E278">
        <v>30</v>
      </c>
      <c r="F278" t="s">
        <v>228</v>
      </c>
      <c r="G278" t="str">
        <f>VLOOKUP(F278,'Pond name mapping'!B$3:C$91,2,FALSE)</f>
        <v>Indian</v>
      </c>
      <c r="H278" s="8" t="s">
        <v>355</v>
      </c>
      <c r="I278" t="str">
        <f t="shared" si="4"/>
        <v>Indian#2023-10-30</v>
      </c>
      <c r="J278" t="s">
        <v>757</v>
      </c>
    </row>
    <row r="279" spans="1:10">
      <c r="A279" t="s">
        <v>758</v>
      </c>
      <c r="B279" s="6">
        <v>44828</v>
      </c>
      <c r="C279">
        <v>2022</v>
      </c>
      <c r="D279">
        <v>9</v>
      </c>
      <c r="E279">
        <v>24</v>
      </c>
      <c r="F279" t="s">
        <v>228</v>
      </c>
      <c r="G279" t="str">
        <f>VLOOKUP(F279,'Pond name mapping'!B$3:C$91,2,FALSE)</f>
        <v>Indian</v>
      </c>
      <c r="H279" s="8" t="s">
        <v>324</v>
      </c>
      <c r="I279" t="str">
        <f t="shared" si="4"/>
        <v>Indian#2022-09-24</v>
      </c>
      <c r="J279" t="s">
        <v>759</v>
      </c>
    </row>
    <row r="280" spans="1:10">
      <c r="A280" t="s">
        <v>760</v>
      </c>
      <c r="B280" s="6">
        <v>44837</v>
      </c>
      <c r="C280">
        <v>2022</v>
      </c>
      <c r="D280">
        <v>10</v>
      </c>
      <c r="E280">
        <v>3</v>
      </c>
      <c r="F280" t="s">
        <v>229</v>
      </c>
      <c r="G280" t="str">
        <f>VLOOKUP(F280,'Pond name mapping'!B$3:C$91,2,FALSE)</f>
        <v>Indian</v>
      </c>
      <c r="H280" s="8" t="s">
        <v>326</v>
      </c>
      <c r="I280" t="str">
        <f t="shared" si="4"/>
        <v>Indian#2022-10-03</v>
      </c>
      <c r="J280" t="s">
        <v>761</v>
      </c>
    </row>
    <row r="281" spans="1:10">
      <c r="A281" t="s">
        <v>762</v>
      </c>
      <c r="B281" s="6">
        <v>45446</v>
      </c>
      <c r="C281">
        <v>2024</v>
      </c>
      <c r="D281">
        <v>6</v>
      </c>
      <c r="E281">
        <v>3</v>
      </c>
      <c r="F281" t="s">
        <v>46</v>
      </c>
      <c r="G281" t="str">
        <f>VLOOKUP(F281,'Pond name mapping'!B$3:C$91,2,FALSE)</f>
        <v>Indian</v>
      </c>
      <c r="H281" s="8" t="s">
        <v>334</v>
      </c>
      <c r="I281" t="str">
        <f t="shared" si="4"/>
        <v>Indian#2024-06-03</v>
      </c>
      <c r="J281" t="s">
        <v>763</v>
      </c>
    </row>
    <row r="282" spans="1:10">
      <c r="A282" t="s">
        <v>764</v>
      </c>
      <c r="B282" s="6">
        <v>44683</v>
      </c>
      <c r="C282">
        <v>2022</v>
      </c>
      <c r="D282">
        <v>5</v>
      </c>
      <c r="E282">
        <v>2</v>
      </c>
      <c r="F282" t="s">
        <v>46</v>
      </c>
      <c r="G282" t="str">
        <f>VLOOKUP(F282,'Pond name mapping'!B$3:C$91,2,FALSE)</f>
        <v>Indian</v>
      </c>
      <c r="H282" s="8" t="s">
        <v>305</v>
      </c>
      <c r="I282" t="str">
        <f t="shared" si="4"/>
        <v>Indian#2022-05-02</v>
      </c>
      <c r="J282" t="s">
        <v>764</v>
      </c>
    </row>
    <row r="283" spans="1:10">
      <c r="A283" t="s">
        <v>765</v>
      </c>
      <c r="B283" s="6">
        <v>44702</v>
      </c>
      <c r="C283">
        <v>2022</v>
      </c>
      <c r="D283">
        <v>5</v>
      </c>
      <c r="E283">
        <v>21</v>
      </c>
      <c r="F283" t="s">
        <v>46</v>
      </c>
      <c r="G283" t="str">
        <f>VLOOKUP(F283,'Pond name mapping'!B$3:C$91,2,FALSE)</f>
        <v>Indian</v>
      </c>
      <c r="H283" s="8" t="s">
        <v>307</v>
      </c>
      <c r="I283" t="str">
        <f t="shared" si="4"/>
        <v>Indian#2022-05-21</v>
      </c>
      <c r="J283" t="s">
        <v>765</v>
      </c>
    </row>
    <row r="284" spans="1:10">
      <c r="A284" t="s">
        <v>766</v>
      </c>
      <c r="B284" s="6">
        <v>44718</v>
      </c>
      <c r="C284">
        <v>2022</v>
      </c>
      <c r="D284">
        <v>6</v>
      </c>
      <c r="E284">
        <v>6</v>
      </c>
      <c r="F284" t="s">
        <v>46</v>
      </c>
      <c r="G284" t="str">
        <f>VLOOKUP(F284,'Pond name mapping'!B$3:C$91,2,FALSE)</f>
        <v>Indian</v>
      </c>
      <c r="H284" s="8" t="s">
        <v>309</v>
      </c>
      <c r="I284" t="str">
        <f t="shared" si="4"/>
        <v>Indian#2022-06-06</v>
      </c>
      <c r="J284" t="s">
        <v>766</v>
      </c>
    </row>
    <row r="285" spans="1:10">
      <c r="A285" t="s">
        <v>767</v>
      </c>
      <c r="B285" s="6">
        <v>44718</v>
      </c>
      <c r="C285">
        <v>2022</v>
      </c>
      <c r="D285">
        <v>6</v>
      </c>
      <c r="E285">
        <v>6</v>
      </c>
      <c r="F285" t="s">
        <v>46</v>
      </c>
      <c r="G285" t="str">
        <f>VLOOKUP(F285,'Pond name mapping'!B$3:C$91,2,FALSE)</f>
        <v>Indian</v>
      </c>
      <c r="H285" s="8" t="s">
        <v>309</v>
      </c>
      <c r="I285" t="str">
        <f t="shared" si="4"/>
        <v>Indian#2022-06-06</v>
      </c>
      <c r="J285" t="s">
        <v>767</v>
      </c>
    </row>
    <row r="286" spans="1:10">
      <c r="A286" t="s">
        <v>768</v>
      </c>
      <c r="B286" s="6">
        <v>44747</v>
      </c>
      <c r="C286">
        <v>2022</v>
      </c>
      <c r="D286">
        <v>7</v>
      </c>
      <c r="E286">
        <v>5</v>
      </c>
      <c r="F286" t="s">
        <v>46</v>
      </c>
      <c r="G286" t="str">
        <f>VLOOKUP(F286,'Pond name mapping'!B$3:C$91,2,FALSE)</f>
        <v>Indian</v>
      </c>
      <c r="H286" s="8" t="s">
        <v>313</v>
      </c>
      <c r="I286" t="str">
        <f t="shared" si="4"/>
        <v>Indian#2022-07-05</v>
      </c>
      <c r="J286" t="s">
        <v>768</v>
      </c>
    </row>
    <row r="287" spans="1:10">
      <c r="A287" t="s">
        <v>769</v>
      </c>
      <c r="B287" s="6">
        <v>44758</v>
      </c>
      <c r="C287">
        <v>2022</v>
      </c>
      <c r="D287">
        <v>7</v>
      </c>
      <c r="E287">
        <v>16</v>
      </c>
      <c r="F287" t="s">
        <v>46</v>
      </c>
      <c r="G287" t="str">
        <f>VLOOKUP(F287,'Pond name mapping'!B$3:C$91,2,FALSE)</f>
        <v>Indian</v>
      </c>
      <c r="H287" s="8" t="s">
        <v>315</v>
      </c>
      <c r="I287" t="str">
        <f t="shared" si="4"/>
        <v>Indian#2022-07-16</v>
      </c>
      <c r="J287" t="s">
        <v>770</v>
      </c>
    </row>
    <row r="288" spans="1:10">
      <c r="A288" t="s">
        <v>771</v>
      </c>
      <c r="B288" s="6">
        <v>44774</v>
      </c>
      <c r="C288">
        <v>2022</v>
      </c>
      <c r="D288">
        <v>8</v>
      </c>
      <c r="E288">
        <v>1</v>
      </c>
      <c r="F288" t="s">
        <v>46</v>
      </c>
      <c r="G288" t="str">
        <f>VLOOKUP(F288,'Pond name mapping'!B$3:C$91,2,FALSE)</f>
        <v>Indian</v>
      </c>
      <c r="H288" s="8" t="s">
        <v>317</v>
      </c>
      <c r="I288" t="str">
        <f t="shared" si="4"/>
        <v>Indian#2022-08-01</v>
      </c>
      <c r="J288" t="s">
        <v>772</v>
      </c>
    </row>
    <row r="289" spans="1:10">
      <c r="A289" t="s">
        <v>773</v>
      </c>
      <c r="B289" s="6">
        <v>44800</v>
      </c>
      <c r="C289">
        <v>2022</v>
      </c>
      <c r="D289">
        <v>8</v>
      </c>
      <c r="E289">
        <v>27</v>
      </c>
      <c r="F289" t="s">
        <v>46</v>
      </c>
      <c r="G289" t="str">
        <f>VLOOKUP(F289,'Pond name mapping'!B$3:C$91,2,FALSE)</f>
        <v>Indian</v>
      </c>
      <c r="H289" s="8" t="s">
        <v>376</v>
      </c>
      <c r="I289" t="str">
        <f t="shared" si="4"/>
        <v>Indian#2022-08-27</v>
      </c>
      <c r="J289" t="s">
        <v>773</v>
      </c>
    </row>
    <row r="290" spans="1:10">
      <c r="A290" t="s">
        <v>774</v>
      </c>
      <c r="B290" s="6">
        <v>44849</v>
      </c>
      <c r="C290">
        <v>2022</v>
      </c>
      <c r="D290">
        <v>10</v>
      </c>
      <c r="E290">
        <v>15</v>
      </c>
      <c r="F290" t="s">
        <v>46</v>
      </c>
      <c r="G290" t="str">
        <f>VLOOKUP(F290,'Pond name mapping'!B$3:C$91,2,FALSE)</f>
        <v>Indian</v>
      </c>
      <c r="H290" s="8" t="s">
        <v>379</v>
      </c>
      <c r="I290" t="str">
        <f t="shared" si="4"/>
        <v>Indian#2022-10-15</v>
      </c>
      <c r="J290" t="s">
        <v>774</v>
      </c>
    </row>
    <row r="291" spans="1:10">
      <c r="A291" t="s">
        <v>775</v>
      </c>
      <c r="B291" s="6">
        <v>44464</v>
      </c>
      <c r="C291">
        <v>2021</v>
      </c>
      <c r="D291">
        <v>9</v>
      </c>
      <c r="E291">
        <v>25</v>
      </c>
      <c r="F291" t="s">
        <v>46</v>
      </c>
      <c r="G291" t="str">
        <f>VLOOKUP(F291,'Pond name mapping'!B$3:C$91,2,FALSE)</f>
        <v>Indian</v>
      </c>
      <c r="H291" s="8" t="s">
        <v>329</v>
      </c>
      <c r="I291" t="str">
        <f t="shared" si="4"/>
        <v>Indian#2021-09-25</v>
      </c>
      <c r="J291" t="s">
        <v>775</v>
      </c>
    </row>
    <row r="292" spans="1:10">
      <c r="A292" t="s">
        <v>776</v>
      </c>
      <c r="B292" s="6">
        <v>44464</v>
      </c>
      <c r="C292">
        <v>2021</v>
      </c>
      <c r="D292">
        <v>9</v>
      </c>
      <c r="E292">
        <v>25</v>
      </c>
      <c r="F292" t="s">
        <v>46</v>
      </c>
      <c r="G292" t="str">
        <f>VLOOKUP(F292,'Pond name mapping'!B$3:C$91,2,FALSE)</f>
        <v>Indian</v>
      </c>
      <c r="H292" s="8" t="s">
        <v>329</v>
      </c>
      <c r="I292" t="str">
        <f t="shared" si="4"/>
        <v>Indian#2021-09-25</v>
      </c>
      <c r="J292" t="s">
        <v>776</v>
      </c>
    </row>
    <row r="293" spans="1:10">
      <c r="A293" t="s">
        <v>777</v>
      </c>
      <c r="B293" s="6">
        <v>44485</v>
      </c>
      <c r="C293">
        <v>2021</v>
      </c>
      <c r="D293">
        <v>10</v>
      </c>
      <c r="E293">
        <v>16</v>
      </c>
      <c r="F293" t="s">
        <v>46</v>
      </c>
      <c r="G293" t="str">
        <f>VLOOKUP(F293,'Pond name mapping'!B$3:C$91,2,FALSE)</f>
        <v>Indian</v>
      </c>
      <c r="H293" s="8" t="s">
        <v>331</v>
      </c>
      <c r="I293" t="str">
        <f t="shared" si="4"/>
        <v>Indian#2021-10-16</v>
      </c>
      <c r="J293" t="s">
        <v>777</v>
      </c>
    </row>
    <row r="294" spans="1:10">
      <c r="A294" t="s">
        <v>778</v>
      </c>
      <c r="B294" s="6">
        <v>44485</v>
      </c>
      <c r="C294">
        <v>2021</v>
      </c>
      <c r="D294">
        <v>10</v>
      </c>
      <c r="E294">
        <v>16</v>
      </c>
      <c r="F294" t="s">
        <v>46</v>
      </c>
      <c r="G294" t="str">
        <f>VLOOKUP(F294,'Pond name mapping'!B$3:C$91,2,FALSE)</f>
        <v>Indian</v>
      </c>
      <c r="H294" s="8" t="s">
        <v>331</v>
      </c>
      <c r="I294" t="str">
        <f t="shared" si="4"/>
        <v>Indian#2021-10-16</v>
      </c>
      <c r="J294" t="s">
        <v>778</v>
      </c>
    </row>
    <row r="295" spans="1:10">
      <c r="A295" t="s">
        <v>779</v>
      </c>
      <c r="B295" s="6">
        <v>44730</v>
      </c>
      <c r="C295">
        <v>2022</v>
      </c>
      <c r="D295">
        <v>6</v>
      </c>
      <c r="E295">
        <v>18</v>
      </c>
      <c r="F295" t="s">
        <v>228</v>
      </c>
      <c r="G295" t="str">
        <f>VLOOKUP(F295,'Pond name mapping'!B$3:C$91,2,FALSE)</f>
        <v>Indian</v>
      </c>
      <c r="H295" s="8" t="s">
        <v>311</v>
      </c>
      <c r="I295" t="str">
        <f t="shared" si="4"/>
        <v>Indian#2022-06-18</v>
      </c>
      <c r="J295" t="s">
        <v>779</v>
      </c>
    </row>
    <row r="296" spans="1:10">
      <c r="A296" t="s">
        <v>780</v>
      </c>
      <c r="B296" s="6">
        <v>44683</v>
      </c>
      <c r="C296">
        <v>2022</v>
      </c>
      <c r="D296">
        <v>5</v>
      </c>
      <c r="E296">
        <v>2</v>
      </c>
      <c r="F296" t="s">
        <v>230</v>
      </c>
      <c r="G296" t="str">
        <f>VLOOKUP(F296,'Pond name mapping'!B$3:C$91,2,FALSE)</f>
        <v>Indian</v>
      </c>
      <c r="H296" s="8" t="s">
        <v>305</v>
      </c>
      <c r="I296" t="str">
        <f t="shared" si="4"/>
        <v>Indian#2022-05-02</v>
      </c>
      <c r="J296" t="s">
        <v>780</v>
      </c>
    </row>
    <row r="297" spans="1:10">
      <c r="A297" t="s">
        <v>781</v>
      </c>
      <c r="B297" s="6">
        <v>44718</v>
      </c>
      <c r="C297">
        <v>2022</v>
      </c>
      <c r="D297">
        <v>6</v>
      </c>
      <c r="E297">
        <v>6</v>
      </c>
      <c r="F297" t="s">
        <v>230</v>
      </c>
      <c r="G297" t="str">
        <f>VLOOKUP(F297,'Pond name mapping'!B$3:C$91,2,FALSE)</f>
        <v>Indian</v>
      </c>
      <c r="H297" s="8" t="s">
        <v>309</v>
      </c>
      <c r="I297" t="str">
        <f t="shared" si="4"/>
        <v>Indian#2022-06-06</v>
      </c>
      <c r="J297" t="s">
        <v>781</v>
      </c>
    </row>
    <row r="298" spans="1:10">
      <c r="A298" t="s">
        <v>782</v>
      </c>
      <c r="B298" s="6">
        <v>45061</v>
      </c>
      <c r="C298">
        <v>2023</v>
      </c>
      <c r="D298">
        <v>5</v>
      </c>
      <c r="E298">
        <v>15</v>
      </c>
      <c r="F298" t="s">
        <v>231</v>
      </c>
      <c r="G298" t="str">
        <f>VLOOKUP(F298,'Pond name mapping'!B$3:C$91,2,FALSE)</f>
        <v>Jordan</v>
      </c>
      <c r="H298" s="8" t="s">
        <v>187</v>
      </c>
      <c r="I298" t="str">
        <f t="shared" si="4"/>
        <v>Jordan#2023-05-15</v>
      </c>
      <c r="J298" t="s">
        <v>783</v>
      </c>
    </row>
    <row r="299" spans="1:10">
      <c r="A299" t="s">
        <v>784</v>
      </c>
      <c r="B299" s="6">
        <v>45101</v>
      </c>
      <c r="C299">
        <v>2023</v>
      </c>
      <c r="D299">
        <v>6</v>
      </c>
      <c r="E299">
        <v>24</v>
      </c>
      <c r="F299" t="s">
        <v>231</v>
      </c>
      <c r="G299" t="str">
        <f>VLOOKUP(F299,'Pond name mapping'!B$3:C$91,2,FALSE)</f>
        <v>Jordan</v>
      </c>
      <c r="H299" s="8" t="s">
        <v>283</v>
      </c>
      <c r="I299" t="str">
        <f t="shared" si="4"/>
        <v>Jordan#2023-06-24</v>
      </c>
      <c r="J299" t="s">
        <v>785</v>
      </c>
    </row>
    <row r="300" spans="1:10">
      <c r="A300" t="s">
        <v>786</v>
      </c>
      <c r="B300" s="6">
        <v>45117</v>
      </c>
      <c r="C300">
        <v>2023</v>
      </c>
      <c r="D300">
        <v>7</v>
      </c>
      <c r="E300">
        <v>10</v>
      </c>
      <c r="F300" t="s">
        <v>231</v>
      </c>
      <c r="G300" t="str">
        <f>VLOOKUP(F300,'Pond name mapping'!B$3:C$91,2,FALSE)</f>
        <v>Jordan</v>
      </c>
      <c r="H300" s="8" t="s">
        <v>182</v>
      </c>
      <c r="I300" t="str">
        <f t="shared" si="4"/>
        <v>Jordan#2023-07-10</v>
      </c>
      <c r="J300" t="s">
        <v>787</v>
      </c>
    </row>
    <row r="301" spans="1:10">
      <c r="A301" t="s">
        <v>788</v>
      </c>
      <c r="B301" s="6">
        <v>45129</v>
      </c>
      <c r="C301">
        <v>2023</v>
      </c>
      <c r="D301">
        <v>7</v>
      </c>
      <c r="E301">
        <v>22</v>
      </c>
      <c r="F301" t="s">
        <v>231</v>
      </c>
      <c r="G301" t="str">
        <f>VLOOKUP(F301,'Pond name mapping'!B$3:C$91,2,FALSE)</f>
        <v>Jordan</v>
      </c>
      <c r="H301" s="8" t="s">
        <v>183</v>
      </c>
      <c r="I301" t="str">
        <f t="shared" si="4"/>
        <v>Jordan#2023-07-22</v>
      </c>
      <c r="J301" t="s">
        <v>789</v>
      </c>
    </row>
    <row r="302" spans="1:10">
      <c r="A302" t="s">
        <v>790</v>
      </c>
      <c r="B302" s="6">
        <v>45145</v>
      </c>
      <c r="C302">
        <v>2023</v>
      </c>
      <c r="D302">
        <v>8</v>
      </c>
      <c r="E302">
        <v>7</v>
      </c>
      <c r="F302" t="s">
        <v>231</v>
      </c>
      <c r="G302" t="str">
        <f>VLOOKUP(F302,'Pond name mapping'!B$3:C$91,2,FALSE)</f>
        <v>Jordan</v>
      </c>
      <c r="H302" s="8" t="s">
        <v>180</v>
      </c>
      <c r="I302" t="str">
        <f t="shared" si="4"/>
        <v>Jordan#2023-08-07</v>
      </c>
      <c r="J302" t="s">
        <v>791</v>
      </c>
    </row>
    <row r="303" spans="1:10">
      <c r="A303" t="s">
        <v>792</v>
      </c>
      <c r="B303" s="6">
        <v>45174</v>
      </c>
      <c r="C303">
        <v>2023</v>
      </c>
      <c r="D303">
        <v>9</v>
      </c>
      <c r="E303">
        <v>5</v>
      </c>
      <c r="F303" t="s">
        <v>231</v>
      </c>
      <c r="G303" t="str">
        <f>VLOOKUP(F303,'Pond name mapping'!B$3:C$91,2,FALSE)</f>
        <v>Jordan</v>
      </c>
      <c r="H303" s="8" t="s">
        <v>185</v>
      </c>
      <c r="I303" t="str">
        <f t="shared" si="4"/>
        <v>Jordan#2023-09-05</v>
      </c>
      <c r="J303" t="s">
        <v>793</v>
      </c>
    </row>
    <row r="304" spans="1:10">
      <c r="A304" t="s">
        <v>794</v>
      </c>
      <c r="B304" s="6">
        <v>45201</v>
      </c>
      <c r="C304">
        <v>2023</v>
      </c>
      <c r="D304">
        <v>10</v>
      </c>
      <c r="E304">
        <v>2</v>
      </c>
      <c r="F304" t="s">
        <v>231</v>
      </c>
      <c r="G304" t="str">
        <f>VLOOKUP(F304,'Pond name mapping'!B$3:C$91,2,FALSE)</f>
        <v>Jordan</v>
      </c>
      <c r="H304" s="8" t="s">
        <v>190</v>
      </c>
      <c r="I304" t="str">
        <f t="shared" si="4"/>
        <v>Jordan#2023-10-02</v>
      </c>
      <c r="J304" t="s">
        <v>795</v>
      </c>
    </row>
    <row r="305" spans="1:10">
      <c r="A305" t="s">
        <v>796</v>
      </c>
      <c r="B305" s="6">
        <v>45229</v>
      </c>
      <c r="C305">
        <v>2023</v>
      </c>
      <c r="D305">
        <v>10</v>
      </c>
      <c r="E305">
        <v>30</v>
      </c>
      <c r="F305" t="s">
        <v>231</v>
      </c>
      <c r="G305" t="str">
        <f>VLOOKUP(F305,'Pond name mapping'!B$3:C$91,2,FALSE)</f>
        <v>Jordan</v>
      </c>
      <c r="H305" s="8" t="s">
        <v>355</v>
      </c>
      <c r="I305" t="str">
        <f t="shared" si="4"/>
        <v>Jordan#2023-10-30</v>
      </c>
      <c r="J305" t="s">
        <v>797</v>
      </c>
    </row>
    <row r="306" spans="1:10">
      <c r="A306" t="s">
        <v>798</v>
      </c>
      <c r="B306" s="6">
        <v>44828</v>
      </c>
      <c r="C306">
        <v>2022</v>
      </c>
      <c r="D306">
        <v>9</v>
      </c>
      <c r="E306">
        <v>24</v>
      </c>
      <c r="F306" t="s">
        <v>231</v>
      </c>
      <c r="G306" t="str">
        <f>VLOOKUP(F306,'Pond name mapping'!B$3:C$91,2,FALSE)</f>
        <v>Jordan</v>
      </c>
      <c r="H306" s="8" t="s">
        <v>324</v>
      </c>
      <c r="I306" t="str">
        <f t="shared" si="4"/>
        <v>Jordan#2022-09-24</v>
      </c>
      <c r="J306" t="s">
        <v>799</v>
      </c>
    </row>
    <row r="307" spans="1:10">
      <c r="A307" t="s">
        <v>800</v>
      </c>
      <c r="B307" s="6">
        <v>45045</v>
      </c>
      <c r="C307">
        <v>2023</v>
      </c>
      <c r="D307">
        <v>4</v>
      </c>
      <c r="E307">
        <v>29</v>
      </c>
      <c r="F307" t="s">
        <v>49</v>
      </c>
      <c r="G307" t="str">
        <f>VLOOKUP(F307,'Pond name mapping'!B$3:C$91,2,FALSE)</f>
        <v>Jordan</v>
      </c>
      <c r="H307" s="8" t="s">
        <v>300</v>
      </c>
      <c r="I307" t="str">
        <f t="shared" si="4"/>
        <v>Jordan#2023-04-29</v>
      </c>
      <c r="J307" t="s">
        <v>801</v>
      </c>
    </row>
    <row r="308" spans="1:10">
      <c r="A308" t="s">
        <v>802</v>
      </c>
      <c r="B308" s="6">
        <v>45073</v>
      </c>
      <c r="C308">
        <v>2023</v>
      </c>
      <c r="D308">
        <v>5</v>
      </c>
      <c r="E308">
        <v>27</v>
      </c>
      <c r="F308" t="s">
        <v>49</v>
      </c>
      <c r="G308" t="str">
        <f>VLOOKUP(F308,'Pond name mapping'!B$3:C$91,2,FALSE)</f>
        <v>Jordan</v>
      </c>
      <c r="H308" s="8" t="s">
        <v>188</v>
      </c>
      <c r="I308" t="str">
        <f t="shared" si="4"/>
        <v>Jordan#2023-05-27</v>
      </c>
      <c r="J308" t="s">
        <v>803</v>
      </c>
    </row>
    <row r="309" spans="1:10">
      <c r="A309" t="s">
        <v>804</v>
      </c>
      <c r="B309" s="6">
        <v>45446</v>
      </c>
      <c r="C309">
        <v>2024</v>
      </c>
      <c r="D309">
        <v>6</v>
      </c>
      <c r="E309">
        <v>3</v>
      </c>
      <c r="F309" t="s">
        <v>49</v>
      </c>
      <c r="G309" t="str">
        <f>VLOOKUP(F309,'Pond name mapping'!B$3:C$91,2,FALSE)</f>
        <v>Jordan</v>
      </c>
      <c r="H309" s="8" t="s">
        <v>334</v>
      </c>
      <c r="I309" t="str">
        <f t="shared" si="4"/>
        <v>Jordan#2024-06-03</v>
      </c>
      <c r="J309" t="s">
        <v>805</v>
      </c>
    </row>
    <row r="310" spans="1:10">
      <c r="A310" t="s">
        <v>806</v>
      </c>
      <c r="B310" s="6">
        <v>45089</v>
      </c>
      <c r="C310">
        <v>2023</v>
      </c>
      <c r="D310">
        <v>6</v>
      </c>
      <c r="E310">
        <v>12</v>
      </c>
      <c r="F310" t="s">
        <v>49</v>
      </c>
      <c r="G310" t="str">
        <f>VLOOKUP(F310,'Pond name mapping'!B$3:C$91,2,FALSE)</f>
        <v>Jordan</v>
      </c>
      <c r="H310" s="8" t="s">
        <v>189</v>
      </c>
      <c r="I310" t="str">
        <f t="shared" si="4"/>
        <v>Jordan#2023-06-12</v>
      </c>
      <c r="J310" t="s">
        <v>807</v>
      </c>
    </row>
    <row r="311" spans="1:10">
      <c r="A311" t="s">
        <v>808</v>
      </c>
      <c r="B311" s="6">
        <v>44702</v>
      </c>
      <c r="C311">
        <v>2022</v>
      </c>
      <c r="D311">
        <v>5</v>
      </c>
      <c r="E311">
        <v>21</v>
      </c>
      <c r="F311" t="s">
        <v>49</v>
      </c>
      <c r="G311" t="str">
        <f>VLOOKUP(F311,'Pond name mapping'!B$3:C$91,2,FALSE)</f>
        <v>Jordan</v>
      </c>
      <c r="H311" s="8" t="s">
        <v>307</v>
      </c>
      <c r="I311" t="str">
        <f t="shared" si="4"/>
        <v>Jordan#2022-05-21</v>
      </c>
      <c r="J311" t="s">
        <v>808</v>
      </c>
    </row>
    <row r="312" spans="1:10">
      <c r="A312" t="s">
        <v>809</v>
      </c>
      <c r="B312" s="6">
        <v>44758</v>
      </c>
      <c r="C312">
        <v>2022</v>
      </c>
      <c r="D312">
        <v>7</v>
      </c>
      <c r="E312">
        <v>16</v>
      </c>
      <c r="F312" t="s">
        <v>49</v>
      </c>
      <c r="G312" t="str">
        <f>VLOOKUP(F312,'Pond name mapping'!B$3:C$91,2,FALSE)</f>
        <v>Jordan</v>
      </c>
      <c r="H312" s="8" t="s">
        <v>315</v>
      </c>
      <c r="I312" t="str">
        <f t="shared" si="4"/>
        <v>Jordan#2022-07-16</v>
      </c>
      <c r="J312" t="s">
        <v>809</v>
      </c>
    </row>
    <row r="313" spans="1:10">
      <c r="A313" t="s">
        <v>810</v>
      </c>
      <c r="B313" s="6">
        <v>44758</v>
      </c>
      <c r="C313">
        <v>2022</v>
      </c>
      <c r="D313">
        <v>7</v>
      </c>
      <c r="E313">
        <v>16</v>
      </c>
      <c r="F313" t="s">
        <v>232</v>
      </c>
      <c r="G313" t="str">
        <f>VLOOKUP(F313,'Pond name mapping'!B$3:C$91,2,FALSE)</f>
        <v>Jordan</v>
      </c>
      <c r="H313" s="8" t="s">
        <v>315</v>
      </c>
      <c r="I313" t="str">
        <f t="shared" si="4"/>
        <v>Jordan#2022-07-16</v>
      </c>
      <c r="J313" t="s">
        <v>810</v>
      </c>
    </row>
    <row r="314" spans="1:10">
      <c r="A314" t="s">
        <v>811</v>
      </c>
      <c r="B314" s="6">
        <v>44800</v>
      </c>
      <c r="C314">
        <v>2022</v>
      </c>
      <c r="D314">
        <v>8</v>
      </c>
      <c r="E314">
        <v>27</v>
      </c>
      <c r="F314" t="s">
        <v>49</v>
      </c>
      <c r="G314" t="str">
        <f>VLOOKUP(F314,'Pond name mapping'!B$3:C$91,2,FALSE)</f>
        <v>Jordan</v>
      </c>
      <c r="H314" s="8" t="s">
        <v>376</v>
      </c>
      <c r="I314" t="str">
        <f t="shared" si="4"/>
        <v>Jordan#2022-08-27</v>
      </c>
      <c r="J314" t="s">
        <v>811</v>
      </c>
    </row>
    <row r="315" spans="1:10">
      <c r="A315" t="s">
        <v>812</v>
      </c>
      <c r="B315" s="6">
        <v>44849</v>
      </c>
      <c r="C315">
        <v>2022</v>
      </c>
      <c r="D315">
        <v>10</v>
      </c>
      <c r="E315">
        <v>15</v>
      </c>
      <c r="F315" t="s">
        <v>49</v>
      </c>
      <c r="G315" t="str">
        <f>VLOOKUP(F315,'Pond name mapping'!B$3:C$91,2,FALSE)</f>
        <v>Jordan</v>
      </c>
      <c r="H315" s="8" t="s">
        <v>379</v>
      </c>
      <c r="I315" t="str">
        <f t="shared" si="4"/>
        <v>Jordan#2022-10-15</v>
      </c>
      <c r="J315" t="s">
        <v>812</v>
      </c>
    </row>
    <row r="316" spans="1:10">
      <c r="A316" t="s">
        <v>813</v>
      </c>
      <c r="B316" s="6">
        <v>45061</v>
      </c>
      <c r="C316">
        <v>2023</v>
      </c>
      <c r="D316">
        <v>5</v>
      </c>
      <c r="E316">
        <v>15</v>
      </c>
      <c r="F316" t="s">
        <v>233</v>
      </c>
      <c r="G316" t="str">
        <f>VLOOKUP(F316,'Pond name mapping'!B$3:C$91,2,FALSE)</f>
        <v>Kiver</v>
      </c>
      <c r="H316" s="8" t="s">
        <v>187</v>
      </c>
      <c r="I316" t="str">
        <f t="shared" si="4"/>
        <v>Kiver#2023-05-15</v>
      </c>
      <c r="J316" t="s">
        <v>814</v>
      </c>
    </row>
    <row r="317" spans="1:10">
      <c r="A317" t="s">
        <v>815</v>
      </c>
      <c r="B317" s="6">
        <v>45101</v>
      </c>
      <c r="C317">
        <v>2023</v>
      </c>
      <c r="D317">
        <v>6</v>
      </c>
      <c r="E317">
        <v>24</v>
      </c>
      <c r="F317" t="s">
        <v>233</v>
      </c>
      <c r="G317" t="str">
        <f>VLOOKUP(F317,'Pond name mapping'!B$3:C$91,2,FALSE)</f>
        <v>Kiver</v>
      </c>
      <c r="H317" s="8" t="s">
        <v>283</v>
      </c>
      <c r="I317" t="str">
        <f t="shared" si="4"/>
        <v>Kiver#2023-06-24</v>
      </c>
      <c r="J317" t="s">
        <v>816</v>
      </c>
    </row>
    <row r="318" spans="1:10">
      <c r="A318" t="s">
        <v>817</v>
      </c>
      <c r="B318" s="6">
        <v>45117</v>
      </c>
      <c r="C318">
        <v>2023</v>
      </c>
      <c r="D318">
        <v>7</v>
      </c>
      <c r="E318">
        <v>10</v>
      </c>
      <c r="F318" t="s">
        <v>233</v>
      </c>
      <c r="G318" t="str">
        <f>VLOOKUP(F318,'Pond name mapping'!B$3:C$91,2,FALSE)</f>
        <v>Kiver</v>
      </c>
      <c r="H318" s="8" t="s">
        <v>182</v>
      </c>
      <c r="I318" t="str">
        <f t="shared" si="4"/>
        <v>Kiver#2023-07-10</v>
      </c>
      <c r="J318" t="s">
        <v>818</v>
      </c>
    </row>
    <row r="319" spans="1:10">
      <c r="A319" t="s">
        <v>819</v>
      </c>
      <c r="B319" s="6">
        <v>45129</v>
      </c>
      <c r="C319">
        <v>2023</v>
      </c>
      <c r="D319">
        <v>7</v>
      </c>
      <c r="E319">
        <v>22</v>
      </c>
      <c r="F319" t="s">
        <v>233</v>
      </c>
      <c r="G319" t="str">
        <f>VLOOKUP(F319,'Pond name mapping'!B$3:C$91,2,FALSE)</f>
        <v>Kiver</v>
      </c>
      <c r="H319" s="8" t="s">
        <v>183</v>
      </c>
      <c r="I319" t="str">
        <f t="shared" si="4"/>
        <v>Kiver#2023-07-22</v>
      </c>
      <c r="J319" t="s">
        <v>820</v>
      </c>
    </row>
    <row r="320" spans="1:10">
      <c r="A320" t="s">
        <v>821</v>
      </c>
      <c r="B320" s="6">
        <v>45145</v>
      </c>
      <c r="C320">
        <v>2023</v>
      </c>
      <c r="D320">
        <v>8</v>
      </c>
      <c r="E320">
        <v>7</v>
      </c>
      <c r="F320" t="s">
        <v>233</v>
      </c>
      <c r="G320" t="str">
        <f>VLOOKUP(F320,'Pond name mapping'!B$3:C$91,2,FALSE)</f>
        <v>Kiver</v>
      </c>
      <c r="H320" s="8" t="s">
        <v>180</v>
      </c>
      <c r="I320" t="str">
        <f t="shared" si="4"/>
        <v>Kiver#2023-08-07</v>
      </c>
      <c r="J320" t="s">
        <v>822</v>
      </c>
    </row>
    <row r="321" spans="1:10">
      <c r="A321" t="s">
        <v>823</v>
      </c>
      <c r="B321" s="6">
        <v>45174</v>
      </c>
      <c r="C321">
        <v>2023</v>
      </c>
      <c r="D321">
        <v>9</v>
      </c>
      <c r="E321">
        <v>5</v>
      </c>
      <c r="F321" t="s">
        <v>233</v>
      </c>
      <c r="G321" t="str">
        <f>VLOOKUP(F321,'Pond name mapping'!B$3:C$91,2,FALSE)</f>
        <v>Kiver</v>
      </c>
      <c r="H321" s="8" t="s">
        <v>185</v>
      </c>
      <c r="I321" t="str">
        <f t="shared" si="4"/>
        <v>Kiver#2023-09-05</v>
      </c>
      <c r="J321" t="s">
        <v>824</v>
      </c>
    </row>
    <row r="322" spans="1:10">
      <c r="A322" t="s">
        <v>825</v>
      </c>
      <c r="B322" s="6">
        <v>45185</v>
      </c>
      <c r="C322">
        <v>2023</v>
      </c>
      <c r="D322">
        <v>9</v>
      </c>
      <c r="E322">
        <v>16</v>
      </c>
      <c r="F322" t="s">
        <v>233</v>
      </c>
      <c r="G322" t="str">
        <f>VLOOKUP(F322,'Pond name mapping'!B$3:C$91,2,FALSE)</f>
        <v>Kiver</v>
      </c>
      <c r="H322" s="8" t="s">
        <v>181</v>
      </c>
      <c r="I322" t="str">
        <f t="shared" si="4"/>
        <v>Kiver#2023-09-16</v>
      </c>
      <c r="J322" t="s">
        <v>826</v>
      </c>
    </row>
    <row r="323" spans="1:10">
      <c r="A323" t="s">
        <v>827</v>
      </c>
      <c r="B323" s="6">
        <v>45201</v>
      </c>
      <c r="C323">
        <v>2023</v>
      </c>
      <c r="D323">
        <v>10</v>
      </c>
      <c r="E323">
        <v>2</v>
      </c>
      <c r="F323" t="s">
        <v>233</v>
      </c>
      <c r="G323" t="str">
        <f>VLOOKUP(F323,'Pond name mapping'!B$3:C$91,2,FALSE)</f>
        <v>Kiver</v>
      </c>
      <c r="H323" s="8" t="s">
        <v>190</v>
      </c>
      <c r="I323" t="str">
        <f t="shared" si="4"/>
        <v>Kiver#2023-10-02</v>
      </c>
      <c r="J323" t="s">
        <v>828</v>
      </c>
    </row>
    <row r="324" spans="1:10">
      <c r="A324" t="s">
        <v>829</v>
      </c>
      <c r="B324" s="6">
        <v>45213</v>
      </c>
      <c r="C324">
        <v>2023</v>
      </c>
      <c r="D324">
        <v>10</v>
      </c>
      <c r="E324">
        <v>14</v>
      </c>
      <c r="F324" t="s">
        <v>233</v>
      </c>
      <c r="G324" t="str">
        <f>VLOOKUP(F324,'Pond name mapping'!B$3:C$91,2,FALSE)</f>
        <v>Kiver</v>
      </c>
      <c r="H324" s="8" t="s">
        <v>186</v>
      </c>
      <c r="I324" t="str">
        <f t="shared" si="4"/>
        <v>Kiver#2023-10-14</v>
      </c>
      <c r="J324" t="s">
        <v>830</v>
      </c>
    </row>
    <row r="325" spans="1:10">
      <c r="A325" t="s">
        <v>831</v>
      </c>
      <c r="B325" s="6">
        <v>45045</v>
      </c>
      <c r="C325">
        <v>2023</v>
      </c>
      <c r="D325">
        <v>4</v>
      </c>
      <c r="E325">
        <v>29</v>
      </c>
      <c r="F325" t="s">
        <v>51</v>
      </c>
      <c r="G325" t="str">
        <f>VLOOKUP(F325,'Pond name mapping'!B$3:C$91,2,FALSE)</f>
        <v>Kiver</v>
      </c>
      <c r="H325" s="8" t="s">
        <v>300</v>
      </c>
      <c r="I325" t="str">
        <f t="shared" ref="I325:I388" si="5">CONCATENATE(G325,"#",H325)</f>
        <v>Kiver#2023-04-29</v>
      </c>
      <c r="J325" t="s">
        <v>832</v>
      </c>
    </row>
    <row r="326" spans="1:10">
      <c r="A326" t="s">
        <v>833</v>
      </c>
      <c r="B326" s="6">
        <v>45073</v>
      </c>
      <c r="C326">
        <v>2023</v>
      </c>
      <c r="D326">
        <v>5</v>
      </c>
      <c r="E326">
        <v>27</v>
      </c>
      <c r="F326" t="s">
        <v>51</v>
      </c>
      <c r="G326" t="str">
        <f>VLOOKUP(F326,'Pond name mapping'!B$3:C$91,2,FALSE)</f>
        <v>Kiver</v>
      </c>
      <c r="H326" s="8" t="s">
        <v>188</v>
      </c>
      <c r="I326" t="str">
        <f t="shared" si="5"/>
        <v>Kiver#2023-05-27</v>
      </c>
      <c r="J326" t="s">
        <v>834</v>
      </c>
    </row>
    <row r="327" spans="1:10">
      <c r="A327" t="s">
        <v>835</v>
      </c>
      <c r="B327" s="6">
        <v>45446</v>
      </c>
      <c r="C327">
        <v>2024</v>
      </c>
      <c r="D327">
        <v>6</v>
      </c>
      <c r="E327">
        <v>3</v>
      </c>
      <c r="F327" t="s">
        <v>51</v>
      </c>
      <c r="G327" t="str">
        <f>VLOOKUP(F327,'Pond name mapping'!B$3:C$91,2,FALSE)</f>
        <v>Kiver</v>
      </c>
      <c r="H327" s="8" t="s">
        <v>334</v>
      </c>
      <c r="I327" t="str">
        <f t="shared" si="5"/>
        <v>Kiver#2024-06-03</v>
      </c>
      <c r="J327" t="s">
        <v>836</v>
      </c>
    </row>
    <row r="328" spans="1:10">
      <c r="A328" t="s">
        <v>837</v>
      </c>
      <c r="B328" s="6">
        <v>45089</v>
      </c>
      <c r="C328">
        <v>2023</v>
      </c>
      <c r="D328">
        <v>6</v>
      </c>
      <c r="E328">
        <v>12</v>
      </c>
      <c r="F328" t="s">
        <v>51</v>
      </c>
      <c r="G328" t="str">
        <f>VLOOKUP(F328,'Pond name mapping'!B$3:C$91,2,FALSE)</f>
        <v>Kiver</v>
      </c>
      <c r="H328" s="8" t="s">
        <v>189</v>
      </c>
      <c r="I328" t="str">
        <f t="shared" si="5"/>
        <v>Kiver#2023-06-12</v>
      </c>
      <c r="J328" t="s">
        <v>838</v>
      </c>
    </row>
    <row r="329" spans="1:10">
      <c r="A329" t="s">
        <v>839</v>
      </c>
      <c r="B329" s="6">
        <v>44683</v>
      </c>
      <c r="C329">
        <v>2022</v>
      </c>
      <c r="D329">
        <v>5</v>
      </c>
      <c r="E329">
        <v>2</v>
      </c>
      <c r="F329" t="s">
        <v>51</v>
      </c>
      <c r="G329" t="str">
        <f>VLOOKUP(F329,'Pond name mapping'!B$3:C$91,2,FALSE)</f>
        <v>Kiver</v>
      </c>
      <c r="H329" s="8" t="s">
        <v>305</v>
      </c>
      <c r="I329" t="str">
        <f t="shared" si="5"/>
        <v>Kiver#2022-05-02</v>
      </c>
      <c r="J329" t="s">
        <v>839</v>
      </c>
    </row>
    <row r="330" spans="1:10">
      <c r="A330" t="s">
        <v>840</v>
      </c>
      <c r="B330" s="6">
        <v>44702</v>
      </c>
      <c r="C330">
        <v>2022</v>
      </c>
      <c r="D330">
        <v>5</v>
      </c>
      <c r="E330">
        <v>21</v>
      </c>
      <c r="F330" t="s">
        <v>51</v>
      </c>
      <c r="G330" t="str">
        <f>VLOOKUP(F330,'Pond name mapping'!B$3:C$91,2,FALSE)</f>
        <v>Kiver</v>
      </c>
      <c r="H330" s="8" t="s">
        <v>307</v>
      </c>
      <c r="I330" t="str">
        <f t="shared" si="5"/>
        <v>Kiver#2022-05-21</v>
      </c>
      <c r="J330" t="s">
        <v>841</v>
      </c>
    </row>
    <row r="331" spans="1:10">
      <c r="A331" t="s">
        <v>842</v>
      </c>
      <c r="B331" s="6">
        <v>44718</v>
      </c>
      <c r="C331">
        <v>2022</v>
      </c>
      <c r="D331">
        <v>6</v>
      </c>
      <c r="E331">
        <v>6</v>
      </c>
      <c r="F331" t="s">
        <v>51</v>
      </c>
      <c r="G331" t="str">
        <f>VLOOKUP(F331,'Pond name mapping'!B$3:C$91,2,FALSE)</f>
        <v>Kiver</v>
      </c>
      <c r="H331" s="8" t="s">
        <v>309</v>
      </c>
      <c r="I331" t="str">
        <f t="shared" si="5"/>
        <v>Kiver#2022-06-06</v>
      </c>
      <c r="J331" t="s">
        <v>843</v>
      </c>
    </row>
    <row r="332" spans="1:10">
      <c r="A332" t="s">
        <v>844</v>
      </c>
      <c r="B332" s="6">
        <v>44730</v>
      </c>
      <c r="C332">
        <v>2022</v>
      </c>
      <c r="D332">
        <v>6</v>
      </c>
      <c r="E332">
        <v>18</v>
      </c>
      <c r="F332" t="s">
        <v>51</v>
      </c>
      <c r="G332" t="str">
        <f>VLOOKUP(F332,'Pond name mapping'!B$3:C$91,2,FALSE)</f>
        <v>Kiver</v>
      </c>
      <c r="H332" s="8" t="s">
        <v>311</v>
      </c>
      <c r="I332" t="str">
        <f t="shared" si="5"/>
        <v>Kiver#2022-06-18</v>
      </c>
      <c r="J332" t="s">
        <v>845</v>
      </c>
    </row>
    <row r="333" spans="1:10">
      <c r="A333" t="s">
        <v>846</v>
      </c>
      <c r="B333" s="6">
        <v>44747</v>
      </c>
      <c r="C333">
        <v>2022</v>
      </c>
      <c r="D333">
        <v>7</v>
      </c>
      <c r="E333">
        <v>5</v>
      </c>
      <c r="F333" t="s">
        <v>51</v>
      </c>
      <c r="G333" t="str">
        <f>VLOOKUP(F333,'Pond name mapping'!B$3:C$91,2,FALSE)</f>
        <v>Kiver</v>
      </c>
      <c r="H333" s="8" t="s">
        <v>313</v>
      </c>
      <c r="I333" t="str">
        <f t="shared" si="5"/>
        <v>Kiver#2022-07-05</v>
      </c>
      <c r="J333" t="s">
        <v>846</v>
      </c>
    </row>
    <row r="334" spans="1:10">
      <c r="A334" t="s">
        <v>847</v>
      </c>
      <c r="B334" s="6">
        <v>44758</v>
      </c>
      <c r="C334">
        <v>2022</v>
      </c>
      <c r="D334">
        <v>7</v>
      </c>
      <c r="E334">
        <v>16</v>
      </c>
      <c r="F334" t="s">
        <v>51</v>
      </c>
      <c r="G334" t="str">
        <f>VLOOKUP(F334,'Pond name mapping'!B$3:C$91,2,FALSE)</f>
        <v>Kiver</v>
      </c>
      <c r="H334" s="8" t="s">
        <v>315</v>
      </c>
      <c r="I334" t="str">
        <f t="shared" si="5"/>
        <v>Kiver#2022-07-16</v>
      </c>
      <c r="J334" t="s">
        <v>848</v>
      </c>
    </row>
    <row r="335" spans="1:10">
      <c r="A335" t="s">
        <v>849</v>
      </c>
      <c r="B335" s="6">
        <v>44774</v>
      </c>
      <c r="C335">
        <v>2022</v>
      </c>
      <c r="D335">
        <v>8</v>
      </c>
      <c r="E335">
        <v>1</v>
      </c>
      <c r="F335" t="s">
        <v>51</v>
      </c>
      <c r="G335" t="str">
        <f>VLOOKUP(F335,'Pond name mapping'!B$3:C$91,2,FALSE)</f>
        <v>Kiver</v>
      </c>
      <c r="H335" s="8" t="s">
        <v>317</v>
      </c>
      <c r="I335" t="str">
        <f t="shared" si="5"/>
        <v>Kiver#2022-08-01</v>
      </c>
      <c r="J335" t="s">
        <v>850</v>
      </c>
    </row>
    <row r="336" spans="1:10">
      <c r="A336" t="s">
        <v>851</v>
      </c>
      <c r="B336" s="6">
        <v>44800</v>
      </c>
      <c r="C336">
        <v>2022</v>
      </c>
      <c r="D336">
        <v>8</v>
      </c>
      <c r="E336">
        <v>27</v>
      </c>
      <c r="F336" t="s">
        <v>51</v>
      </c>
      <c r="G336" t="str">
        <f>VLOOKUP(F336,'Pond name mapping'!B$3:C$91,2,FALSE)</f>
        <v>Kiver</v>
      </c>
      <c r="H336" s="8" t="s">
        <v>376</v>
      </c>
      <c r="I336" t="str">
        <f t="shared" si="5"/>
        <v>Kiver#2022-08-27</v>
      </c>
      <c r="J336" t="s">
        <v>852</v>
      </c>
    </row>
    <row r="337" spans="1:10">
      <c r="A337" t="s">
        <v>853</v>
      </c>
      <c r="B337" s="6">
        <v>44828</v>
      </c>
      <c r="C337">
        <v>2022</v>
      </c>
      <c r="D337">
        <v>9</v>
      </c>
      <c r="E337">
        <v>24</v>
      </c>
      <c r="F337" t="s">
        <v>51</v>
      </c>
      <c r="G337" t="str">
        <f>VLOOKUP(F337,'Pond name mapping'!B$3:C$91,2,FALSE)</f>
        <v>Kiver</v>
      </c>
      <c r="H337" s="8" t="s">
        <v>324</v>
      </c>
      <c r="I337" t="str">
        <f t="shared" si="5"/>
        <v>Kiver#2022-09-24</v>
      </c>
      <c r="J337" t="s">
        <v>854</v>
      </c>
    </row>
    <row r="338" spans="1:10">
      <c r="A338" t="s">
        <v>855</v>
      </c>
      <c r="B338" s="6">
        <v>44849</v>
      </c>
      <c r="C338">
        <v>2022</v>
      </c>
      <c r="D338">
        <v>10</v>
      </c>
      <c r="E338">
        <v>15</v>
      </c>
      <c r="F338" t="s">
        <v>51</v>
      </c>
      <c r="G338" t="str">
        <f>VLOOKUP(F338,'Pond name mapping'!B$3:C$91,2,FALSE)</f>
        <v>Kiver</v>
      </c>
      <c r="H338" s="8" t="s">
        <v>379</v>
      </c>
      <c r="I338" t="str">
        <f t="shared" si="5"/>
        <v>Kiver#2022-10-15</v>
      </c>
      <c r="J338" t="s">
        <v>856</v>
      </c>
    </row>
    <row r="339" spans="1:10">
      <c r="A339" t="s">
        <v>857</v>
      </c>
      <c r="B339" s="6">
        <v>44464</v>
      </c>
      <c r="C339">
        <v>2021</v>
      </c>
      <c r="D339">
        <v>9</v>
      </c>
      <c r="E339">
        <v>25</v>
      </c>
      <c r="F339" t="s">
        <v>51</v>
      </c>
      <c r="G339" t="str">
        <f>VLOOKUP(F339,'Pond name mapping'!B$3:C$91,2,FALSE)</f>
        <v>Kiver</v>
      </c>
      <c r="H339" s="8" t="s">
        <v>329</v>
      </c>
      <c r="I339" t="str">
        <f t="shared" si="5"/>
        <v>Kiver#2021-09-25</v>
      </c>
      <c r="J339" t="s">
        <v>857</v>
      </c>
    </row>
    <row r="340" spans="1:10">
      <c r="A340" t="s">
        <v>858</v>
      </c>
      <c r="B340" s="6">
        <v>44464</v>
      </c>
      <c r="C340">
        <v>2021</v>
      </c>
      <c r="D340">
        <v>9</v>
      </c>
      <c r="E340">
        <v>25</v>
      </c>
      <c r="F340" t="s">
        <v>51</v>
      </c>
      <c r="G340" t="str">
        <f>VLOOKUP(F340,'Pond name mapping'!B$3:C$91,2,FALSE)</f>
        <v>Kiver</v>
      </c>
      <c r="H340" s="8" t="s">
        <v>329</v>
      </c>
      <c r="I340" t="str">
        <f t="shared" si="5"/>
        <v>Kiver#2021-09-25</v>
      </c>
      <c r="J340" t="s">
        <v>858</v>
      </c>
    </row>
    <row r="341" spans="1:10">
      <c r="A341" t="s">
        <v>859</v>
      </c>
      <c r="B341" s="6">
        <v>44485</v>
      </c>
      <c r="C341">
        <v>2021</v>
      </c>
      <c r="D341">
        <v>10</v>
      </c>
      <c r="E341">
        <v>16</v>
      </c>
      <c r="F341" t="s">
        <v>51</v>
      </c>
      <c r="G341" t="str">
        <f>VLOOKUP(F341,'Pond name mapping'!B$3:C$91,2,FALSE)</f>
        <v>Kiver</v>
      </c>
      <c r="H341" s="8" t="s">
        <v>331</v>
      </c>
      <c r="I341" t="str">
        <f t="shared" si="5"/>
        <v>Kiver#2021-10-16</v>
      </c>
      <c r="J341" t="s">
        <v>859</v>
      </c>
    </row>
    <row r="342" spans="1:10">
      <c r="A342" t="s">
        <v>860</v>
      </c>
      <c r="B342" s="6">
        <v>44485</v>
      </c>
      <c r="C342">
        <v>2021</v>
      </c>
      <c r="D342">
        <v>10</v>
      </c>
      <c r="E342">
        <v>16</v>
      </c>
      <c r="F342" t="s">
        <v>51</v>
      </c>
      <c r="G342" t="str">
        <f>VLOOKUP(F342,'Pond name mapping'!B$3:C$91,2,FALSE)</f>
        <v>Kiver</v>
      </c>
      <c r="H342" s="8" t="s">
        <v>331</v>
      </c>
      <c r="I342" t="str">
        <f t="shared" si="5"/>
        <v>Kiver#2021-10-16</v>
      </c>
      <c r="J342" t="s">
        <v>860</v>
      </c>
    </row>
    <row r="343" spans="1:10">
      <c r="A343" t="s">
        <v>861</v>
      </c>
      <c r="B343" s="6">
        <v>45089</v>
      </c>
      <c r="C343">
        <v>2023</v>
      </c>
      <c r="D343">
        <v>6</v>
      </c>
      <c r="E343">
        <v>12</v>
      </c>
      <c r="F343" t="s">
        <v>234</v>
      </c>
      <c r="G343" t="str">
        <f>VLOOKUP(F343,'Pond name mapping'!B$3:C$91,2,FALSE)</f>
        <v>Chauncy</v>
      </c>
      <c r="H343" s="8" t="s">
        <v>189</v>
      </c>
      <c r="I343" t="str">
        <f t="shared" si="5"/>
        <v>Chauncy#2023-06-12</v>
      </c>
      <c r="J343" t="s">
        <v>862</v>
      </c>
    </row>
    <row r="344" spans="1:10">
      <c r="A344" t="s">
        <v>863</v>
      </c>
      <c r="B344" s="6">
        <v>45101</v>
      </c>
      <c r="C344">
        <v>2023</v>
      </c>
      <c r="D344">
        <v>6</v>
      </c>
      <c r="E344">
        <v>24</v>
      </c>
      <c r="F344" t="s">
        <v>234</v>
      </c>
      <c r="G344" t="str">
        <f>VLOOKUP(F344,'Pond name mapping'!B$3:C$91,2,FALSE)</f>
        <v>Chauncy</v>
      </c>
      <c r="H344" s="8" t="s">
        <v>283</v>
      </c>
      <c r="I344" t="str">
        <f t="shared" si="5"/>
        <v>Chauncy#2023-06-24</v>
      </c>
      <c r="J344" t="s">
        <v>864</v>
      </c>
    </row>
    <row r="345" spans="1:10">
      <c r="A345" t="s">
        <v>865</v>
      </c>
      <c r="B345" s="6">
        <v>45117</v>
      </c>
      <c r="C345">
        <v>2023</v>
      </c>
      <c r="D345">
        <v>7</v>
      </c>
      <c r="E345">
        <v>10</v>
      </c>
      <c r="F345" t="s">
        <v>234</v>
      </c>
      <c r="G345" t="str">
        <f>VLOOKUP(F345,'Pond name mapping'!B$3:C$91,2,FALSE)</f>
        <v>Chauncy</v>
      </c>
      <c r="H345" s="8" t="s">
        <v>182</v>
      </c>
      <c r="I345" t="str">
        <f t="shared" si="5"/>
        <v>Chauncy#2023-07-10</v>
      </c>
      <c r="J345" t="s">
        <v>866</v>
      </c>
    </row>
    <row r="346" spans="1:10">
      <c r="A346" t="s">
        <v>867</v>
      </c>
      <c r="B346" s="6">
        <v>45129</v>
      </c>
      <c r="C346">
        <v>2023</v>
      </c>
      <c r="D346">
        <v>7</v>
      </c>
      <c r="E346">
        <v>22</v>
      </c>
      <c r="F346" t="s">
        <v>234</v>
      </c>
      <c r="G346" t="str">
        <f>VLOOKUP(F346,'Pond name mapping'!B$3:C$91,2,FALSE)</f>
        <v>Chauncy</v>
      </c>
      <c r="H346" s="8" t="s">
        <v>183</v>
      </c>
      <c r="I346" t="str">
        <f t="shared" si="5"/>
        <v>Chauncy#2023-07-22</v>
      </c>
      <c r="J346" t="s">
        <v>868</v>
      </c>
    </row>
    <row r="347" spans="1:10">
      <c r="A347" t="s">
        <v>869</v>
      </c>
      <c r="B347" s="6">
        <v>45145</v>
      </c>
      <c r="C347">
        <v>2023</v>
      </c>
      <c r="D347">
        <v>8</v>
      </c>
      <c r="E347">
        <v>7</v>
      </c>
      <c r="F347" t="s">
        <v>234</v>
      </c>
      <c r="G347" t="str">
        <f>VLOOKUP(F347,'Pond name mapping'!B$3:C$91,2,FALSE)</f>
        <v>Chauncy</v>
      </c>
      <c r="H347" s="8" t="s">
        <v>180</v>
      </c>
      <c r="I347" t="str">
        <f t="shared" si="5"/>
        <v>Chauncy#2023-08-07</v>
      </c>
      <c r="J347" t="s">
        <v>870</v>
      </c>
    </row>
    <row r="348" spans="1:10">
      <c r="A348" t="s">
        <v>871</v>
      </c>
      <c r="B348" s="6">
        <v>45061</v>
      </c>
      <c r="C348">
        <v>2023</v>
      </c>
      <c r="D348">
        <v>5</v>
      </c>
      <c r="E348">
        <v>15</v>
      </c>
      <c r="F348" t="s">
        <v>235</v>
      </c>
      <c r="G348" t="str">
        <f>VLOOKUP(F348,'Pond name mapping'!B$3:C$91,2,FALSE)</f>
        <v>Chauncy</v>
      </c>
      <c r="H348" s="8" t="s">
        <v>187</v>
      </c>
      <c r="I348" t="str">
        <f t="shared" si="5"/>
        <v>Chauncy#2023-05-15</v>
      </c>
      <c r="J348" t="s">
        <v>872</v>
      </c>
    </row>
    <row r="349" spans="1:10">
      <c r="A349" t="s">
        <v>873</v>
      </c>
      <c r="B349" s="6">
        <v>45157</v>
      </c>
      <c r="C349">
        <v>2023</v>
      </c>
      <c r="D349">
        <v>8</v>
      </c>
      <c r="E349">
        <v>19</v>
      </c>
      <c r="F349" t="s">
        <v>235</v>
      </c>
      <c r="G349" t="str">
        <f>VLOOKUP(F349,'Pond name mapping'!B$3:C$91,2,FALSE)</f>
        <v>Chauncy</v>
      </c>
      <c r="H349" s="8" t="s">
        <v>184</v>
      </c>
      <c r="I349" t="str">
        <f t="shared" si="5"/>
        <v>Chauncy#2023-08-19</v>
      </c>
      <c r="J349" t="s">
        <v>874</v>
      </c>
    </row>
    <row r="350" spans="1:10">
      <c r="A350" t="s">
        <v>875</v>
      </c>
      <c r="B350" s="6">
        <v>45185</v>
      </c>
      <c r="C350">
        <v>2023</v>
      </c>
      <c r="D350">
        <v>9</v>
      </c>
      <c r="E350">
        <v>16</v>
      </c>
      <c r="F350" t="s">
        <v>235</v>
      </c>
      <c r="G350" t="str">
        <f>VLOOKUP(F350,'Pond name mapping'!B$3:C$91,2,FALSE)</f>
        <v>Chauncy</v>
      </c>
      <c r="H350" s="8" t="s">
        <v>181</v>
      </c>
      <c r="I350" t="str">
        <f t="shared" si="5"/>
        <v>Chauncy#2023-09-16</v>
      </c>
      <c r="J350" t="s">
        <v>876</v>
      </c>
    </row>
    <row r="351" spans="1:10">
      <c r="A351" t="s">
        <v>877</v>
      </c>
      <c r="B351" s="6">
        <v>45201</v>
      </c>
      <c r="C351">
        <v>2023</v>
      </c>
      <c r="D351">
        <v>10</v>
      </c>
      <c r="E351">
        <v>2</v>
      </c>
      <c r="F351" t="s">
        <v>235</v>
      </c>
      <c r="G351" t="str">
        <f>VLOOKUP(F351,'Pond name mapping'!B$3:C$91,2,FALSE)</f>
        <v>Chauncy</v>
      </c>
      <c r="H351" s="8" t="s">
        <v>190</v>
      </c>
      <c r="I351" t="str">
        <f t="shared" si="5"/>
        <v>Chauncy#2023-10-02</v>
      </c>
      <c r="J351" t="s">
        <v>878</v>
      </c>
    </row>
    <row r="352" spans="1:10">
      <c r="A352" t="s">
        <v>879</v>
      </c>
      <c r="B352" s="6">
        <v>45213</v>
      </c>
      <c r="C352">
        <v>2023</v>
      </c>
      <c r="D352">
        <v>10</v>
      </c>
      <c r="E352">
        <v>14</v>
      </c>
      <c r="F352" t="s">
        <v>235</v>
      </c>
      <c r="G352" t="str">
        <f>VLOOKUP(F352,'Pond name mapping'!B$3:C$91,2,FALSE)</f>
        <v>Chauncy</v>
      </c>
      <c r="H352" s="8" t="s">
        <v>186</v>
      </c>
      <c r="I352" t="str">
        <f t="shared" si="5"/>
        <v>Chauncy#2023-10-14</v>
      </c>
      <c r="J352" t="s">
        <v>880</v>
      </c>
    </row>
    <row r="353" spans="1:10">
      <c r="A353" t="s">
        <v>881</v>
      </c>
      <c r="B353" s="6">
        <v>45073</v>
      </c>
      <c r="C353">
        <v>2023</v>
      </c>
      <c r="D353">
        <v>5</v>
      </c>
      <c r="E353">
        <v>27</v>
      </c>
      <c r="F353" t="s">
        <v>236</v>
      </c>
      <c r="G353" t="str">
        <f>VLOOKUP(F353,'Pond name mapping'!B$3:C$91,2,FALSE)</f>
        <v>Ellie</v>
      </c>
      <c r="H353" s="8" t="s">
        <v>188</v>
      </c>
      <c r="I353" t="str">
        <f t="shared" si="5"/>
        <v>Ellie#2023-05-27</v>
      </c>
      <c r="J353" t="s">
        <v>882</v>
      </c>
    </row>
    <row r="354" spans="1:10">
      <c r="A354" t="s">
        <v>883</v>
      </c>
      <c r="B354" s="6">
        <v>45089</v>
      </c>
      <c r="C354">
        <v>2023</v>
      </c>
      <c r="D354">
        <v>6</v>
      </c>
      <c r="E354">
        <v>12</v>
      </c>
      <c r="F354" t="s">
        <v>236</v>
      </c>
      <c r="G354" t="str">
        <f>VLOOKUP(F354,'Pond name mapping'!B$3:C$91,2,FALSE)</f>
        <v>Ellie</v>
      </c>
      <c r="H354" s="8" t="s">
        <v>189</v>
      </c>
      <c r="I354" t="str">
        <f t="shared" si="5"/>
        <v>Ellie#2023-06-12</v>
      </c>
      <c r="J354" t="s">
        <v>884</v>
      </c>
    </row>
    <row r="355" spans="1:10">
      <c r="A355" t="s">
        <v>885</v>
      </c>
      <c r="B355" s="6">
        <v>45101</v>
      </c>
      <c r="C355">
        <v>2023</v>
      </c>
      <c r="D355">
        <v>6</v>
      </c>
      <c r="E355">
        <v>24</v>
      </c>
      <c r="F355" t="s">
        <v>236</v>
      </c>
      <c r="G355" t="str">
        <f>VLOOKUP(F355,'Pond name mapping'!B$3:C$91,2,FALSE)</f>
        <v>Ellie</v>
      </c>
      <c r="H355" s="8" t="s">
        <v>283</v>
      </c>
      <c r="I355" t="str">
        <f t="shared" si="5"/>
        <v>Ellie#2023-06-24</v>
      </c>
      <c r="J355" t="s">
        <v>886</v>
      </c>
    </row>
    <row r="356" spans="1:10">
      <c r="A356" t="s">
        <v>887</v>
      </c>
      <c r="B356" s="6">
        <v>45117</v>
      </c>
      <c r="C356">
        <v>2023</v>
      </c>
      <c r="D356">
        <v>7</v>
      </c>
      <c r="E356">
        <v>10</v>
      </c>
      <c r="F356" t="s">
        <v>236</v>
      </c>
      <c r="G356" t="str">
        <f>VLOOKUP(F356,'Pond name mapping'!B$3:C$91,2,FALSE)</f>
        <v>Ellie</v>
      </c>
      <c r="H356" s="8" t="s">
        <v>182</v>
      </c>
      <c r="I356" t="str">
        <f t="shared" si="5"/>
        <v>Ellie#2023-07-10</v>
      </c>
      <c r="J356" t="s">
        <v>888</v>
      </c>
    </row>
    <row r="357" spans="1:10">
      <c r="A357" t="s">
        <v>889</v>
      </c>
      <c r="B357" s="6">
        <v>45129</v>
      </c>
      <c r="C357">
        <v>2023</v>
      </c>
      <c r="D357">
        <v>7</v>
      </c>
      <c r="E357">
        <v>22</v>
      </c>
      <c r="F357" t="s">
        <v>236</v>
      </c>
      <c r="G357" t="str">
        <f>VLOOKUP(F357,'Pond name mapping'!B$3:C$91,2,FALSE)</f>
        <v>Ellie</v>
      </c>
      <c r="H357" s="8" t="s">
        <v>183</v>
      </c>
      <c r="I357" t="str">
        <f t="shared" si="5"/>
        <v>Ellie#2023-07-22</v>
      </c>
      <c r="J357" t="s">
        <v>890</v>
      </c>
    </row>
    <row r="358" spans="1:10">
      <c r="A358" t="s">
        <v>891</v>
      </c>
      <c r="B358" s="6">
        <v>45174</v>
      </c>
      <c r="C358">
        <v>2023</v>
      </c>
      <c r="D358">
        <v>9</v>
      </c>
      <c r="E358">
        <v>5</v>
      </c>
      <c r="F358" t="s">
        <v>236</v>
      </c>
      <c r="G358" t="str">
        <f>VLOOKUP(F358,'Pond name mapping'!B$3:C$91,2,FALSE)</f>
        <v>Ellie</v>
      </c>
      <c r="H358" s="8" t="s">
        <v>185</v>
      </c>
      <c r="I358" t="str">
        <f t="shared" si="5"/>
        <v>Ellie#2023-09-05</v>
      </c>
      <c r="J358" t="s">
        <v>892</v>
      </c>
    </row>
    <row r="359" spans="1:10">
      <c r="A359" t="s">
        <v>893</v>
      </c>
      <c r="B359" s="6">
        <v>45185</v>
      </c>
      <c r="C359">
        <v>2023</v>
      </c>
      <c r="D359">
        <v>9</v>
      </c>
      <c r="E359">
        <v>16</v>
      </c>
      <c r="F359" t="s">
        <v>236</v>
      </c>
      <c r="G359" t="str">
        <f>VLOOKUP(F359,'Pond name mapping'!B$3:C$91,2,FALSE)</f>
        <v>Ellie</v>
      </c>
      <c r="H359" s="8" t="s">
        <v>181</v>
      </c>
      <c r="I359" t="str">
        <f t="shared" si="5"/>
        <v>Ellie#2023-09-16</v>
      </c>
      <c r="J359" t="s">
        <v>894</v>
      </c>
    </row>
    <row r="360" spans="1:10">
      <c r="A360" t="s">
        <v>895</v>
      </c>
      <c r="B360" s="6">
        <v>45201</v>
      </c>
      <c r="C360">
        <v>2023</v>
      </c>
      <c r="D360">
        <v>10</v>
      </c>
      <c r="E360">
        <v>2</v>
      </c>
      <c r="F360" t="s">
        <v>236</v>
      </c>
      <c r="G360" t="str">
        <f>VLOOKUP(F360,'Pond name mapping'!B$3:C$91,2,FALSE)</f>
        <v>Ellie</v>
      </c>
      <c r="H360" s="8" t="s">
        <v>190</v>
      </c>
      <c r="I360" t="str">
        <f t="shared" si="5"/>
        <v>Ellie#2023-10-02</v>
      </c>
      <c r="J360" t="s">
        <v>896</v>
      </c>
    </row>
    <row r="361" spans="1:10">
      <c r="A361" t="s">
        <v>897</v>
      </c>
      <c r="B361" s="6">
        <v>45213</v>
      </c>
      <c r="C361">
        <v>2023</v>
      </c>
      <c r="D361">
        <v>10</v>
      </c>
      <c r="E361">
        <v>14</v>
      </c>
      <c r="F361" t="s">
        <v>236</v>
      </c>
      <c r="G361" t="str">
        <f>VLOOKUP(F361,'Pond name mapping'!B$3:C$91,2,FALSE)</f>
        <v>Ellie</v>
      </c>
      <c r="H361" s="8" t="s">
        <v>186</v>
      </c>
      <c r="I361" t="str">
        <f t="shared" si="5"/>
        <v>Ellie#2023-10-14</v>
      </c>
      <c r="J361" t="s">
        <v>898</v>
      </c>
    </row>
    <row r="362" spans="1:10">
      <c r="A362" t="s">
        <v>899</v>
      </c>
      <c r="B362" s="6">
        <v>45229</v>
      </c>
      <c r="C362">
        <v>2023</v>
      </c>
      <c r="D362">
        <v>10</v>
      </c>
      <c r="E362">
        <v>30</v>
      </c>
      <c r="F362" t="s">
        <v>236</v>
      </c>
      <c r="G362" t="str">
        <f>VLOOKUP(F362,'Pond name mapping'!B$3:C$91,2,FALSE)</f>
        <v>Ellie</v>
      </c>
      <c r="H362" s="8" t="s">
        <v>355</v>
      </c>
      <c r="I362" t="str">
        <f t="shared" si="5"/>
        <v>Ellie#2023-10-30</v>
      </c>
      <c r="J362" t="s">
        <v>900</v>
      </c>
    </row>
    <row r="363" spans="1:10">
      <c r="A363" t="s">
        <v>901</v>
      </c>
      <c r="B363" s="6">
        <v>45061</v>
      </c>
      <c r="C363">
        <v>2023</v>
      </c>
      <c r="D363">
        <v>5</v>
      </c>
      <c r="E363">
        <v>15</v>
      </c>
      <c r="F363" t="s">
        <v>237</v>
      </c>
      <c r="G363" t="str">
        <f>VLOOKUP(F363,'Pond name mapping'!B$3:C$91,2,FALSE)</f>
        <v>Lashaway</v>
      </c>
      <c r="H363" s="8" t="s">
        <v>187</v>
      </c>
      <c r="I363" t="str">
        <f t="shared" si="5"/>
        <v>Lashaway#2023-05-15</v>
      </c>
      <c r="J363" t="s">
        <v>902</v>
      </c>
    </row>
    <row r="364" spans="1:10">
      <c r="A364" t="s">
        <v>903</v>
      </c>
      <c r="B364" s="6">
        <v>45073</v>
      </c>
      <c r="C364">
        <v>2023</v>
      </c>
      <c r="D364">
        <v>5</v>
      </c>
      <c r="E364">
        <v>27</v>
      </c>
      <c r="F364" t="s">
        <v>237</v>
      </c>
      <c r="G364" t="str">
        <f>VLOOKUP(F364,'Pond name mapping'!B$3:C$91,2,FALSE)</f>
        <v>Lashaway</v>
      </c>
      <c r="H364" s="8" t="s">
        <v>188</v>
      </c>
      <c r="I364" t="str">
        <f t="shared" si="5"/>
        <v>Lashaway#2023-05-27</v>
      </c>
      <c r="J364" t="s">
        <v>904</v>
      </c>
    </row>
    <row r="365" spans="1:10">
      <c r="A365" t="s">
        <v>905</v>
      </c>
      <c r="B365" s="6">
        <v>45089</v>
      </c>
      <c r="C365">
        <v>2023</v>
      </c>
      <c r="D365">
        <v>6</v>
      </c>
      <c r="E365">
        <v>12</v>
      </c>
      <c r="F365" t="s">
        <v>237</v>
      </c>
      <c r="G365" t="str">
        <f>VLOOKUP(F365,'Pond name mapping'!B$3:C$91,2,FALSE)</f>
        <v>Lashaway</v>
      </c>
      <c r="H365" s="8" t="s">
        <v>189</v>
      </c>
      <c r="I365" t="str">
        <f t="shared" si="5"/>
        <v>Lashaway#2023-06-12</v>
      </c>
      <c r="J365" t="s">
        <v>906</v>
      </c>
    </row>
    <row r="366" spans="1:10">
      <c r="A366" t="s">
        <v>907</v>
      </c>
      <c r="B366" s="6">
        <v>45101</v>
      </c>
      <c r="C366">
        <v>2023</v>
      </c>
      <c r="D366">
        <v>6</v>
      </c>
      <c r="E366">
        <v>24</v>
      </c>
      <c r="F366" t="s">
        <v>237</v>
      </c>
      <c r="G366" t="str">
        <f>VLOOKUP(F366,'Pond name mapping'!B$3:C$91,2,FALSE)</f>
        <v>Lashaway</v>
      </c>
      <c r="H366" s="8" t="s">
        <v>283</v>
      </c>
      <c r="I366" t="str">
        <f t="shared" si="5"/>
        <v>Lashaway#2023-06-24</v>
      </c>
      <c r="J366" t="s">
        <v>908</v>
      </c>
    </row>
    <row r="367" spans="1:10">
      <c r="A367" t="s">
        <v>909</v>
      </c>
      <c r="B367" s="6">
        <v>45117</v>
      </c>
      <c r="C367">
        <v>2023</v>
      </c>
      <c r="D367">
        <v>7</v>
      </c>
      <c r="E367">
        <v>10</v>
      </c>
      <c r="F367" t="s">
        <v>237</v>
      </c>
      <c r="G367" t="str">
        <f>VLOOKUP(F367,'Pond name mapping'!B$3:C$91,2,FALSE)</f>
        <v>Lashaway</v>
      </c>
      <c r="H367" s="8" t="s">
        <v>182</v>
      </c>
      <c r="I367" t="str">
        <f t="shared" si="5"/>
        <v>Lashaway#2023-07-10</v>
      </c>
      <c r="J367" t="s">
        <v>910</v>
      </c>
    </row>
    <row r="368" spans="1:10">
      <c r="A368" t="s">
        <v>911</v>
      </c>
      <c r="B368" s="6">
        <v>45129</v>
      </c>
      <c r="C368">
        <v>2023</v>
      </c>
      <c r="D368">
        <v>7</v>
      </c>
      <c r="E368">
        <v>22</v>
      </c>
      <c r="F368" t="s">
        <v>237</v>
      </c>
      <c r="G368" t="str">
        <f>VLOOKUP(F368,'Pond name mapping'!B$3:C$91,2,FALSE)</f>
        <v>Lashaway</v>
      </c>
      <c r="H368" s="8" t="s">
        <v>183</v>
      </c>
      <c r="I368" t="str">
        <f t="shared" si="5"/>
        <v>Lashaway#2023-07-22</v>
      </c>
      <c r="J368" t="s">
        <v>912</v>
      </c>
    </row>
    <row r="369" spans="1:10">
      <c r="A369" t="s">
        <v>913</v>
      </c>
      <c r="B369" s="6">
        <v>45145</v>
      </c>
      <c r="C369">
        <v>2023</v>
      </c>
      <c r="D369">
        <v>8</v>
      </c>
      <c r="E369">
        <v>7</v>
      </c>
      <c r="F369" t="s">
        <v>237</v>
      </c>
      <c r="G369" t="str">
        <f>VLOOKUP(F369,'Pond name mapping'!B$3:C$91,2,FALSE)</f>
        <v>Lashaway</v>
      </c>
      <c r="H369" s="8" t="s">
        <v>180</v>
      </c>
      <c r="I369" t="str">
        <f t="shared" si="5"/>
        <v>Lashaway#2023-08-07</v>
      </c>
      <c r="J369" t="s">
        <v>914</v>
      </c>
    </row>
    <row r="370" spans="1:10">
      <c r="A370" t="s">
        <v>915</v>
      </c>
      <c r="B370" s="6">
        <v>45157</v>
      </c>
      <c r="C370">
        <v>2023</v>
      </c>
      <c r="D370">
        <v>8</v>
      </c>
      <c r="E370">
        <v>19</v>
      </c>
      <c r="F370" t="s">
        <v>237</v>
      </c>
      <c r="G370" t="str">
        <f>VLOOKUP(F370,'Pond name mapping'!B$3:C$91,2,FALSE)</f>
        <v>Lashaway</v>
      </c>
      <c r="H370" s="8" t="s">
        <v>184</v>
      </c>
      <c r="I370" t="str">
        <f t="shared" si="5"/>
        <v>Lashaway#2023-08-19</v>
      </c>
      <c r="J370" t="s">
        <v>916</v>
      </c>
    </row>
    <row r="371" spans="1:10">
      <c r="A371" t="s">
        <v>917</v>
      </c>
      <c r="B371" s="6">
        <v>45174</v>
      </c>
      <c r="C371">
        <v>2023</v>
      </c>
      <c r="D371">
        <v>9</v>
      </c>
      <c r="E371">
        <v>5</v>
      </c>
      <c r="F371" t="s">
        <v>237</v>
      </c>
      <c r="G371" t="str">
        <f>VLOOKUP(F371,'Pond name mapping'!B$3:C$91,2,FALSE)</f>
        <v>Lashaway</v>
      </c>
      <c r="H371" s="8" t="s">
        <v>185</v>
      </c>
      <c r="I371" t="str">
        <f t="shared" si="5"/>
        <v>Lashaway#2023-09-05</v>
      </c>
      <c r="J371" t="s">
        <v>918</v>
      </c>
    </row>
    <row r="372" spans="1:10">
      <c r="A372" t="s">
        <v>919</v>
      </c>
      <c r="B372" s="6">
        <v>45185</v>
      </c>
      <c r="C372">
        <v>2023</v>
      </c>
      <c r="D372">
        <v>9</v>
      </c>
      <c r="E372">
        <v>16</v>
      </c>
      <c r="F372" t="s">
        <v>237</v>
      </c>
      <c r="G372" t="str">
        <f>VLOOKUP(F372,'Pond name mapping'!B$3:C$91,2,FALSE)</f>
        <v>Lashaway</v>
      </c>
      <c r="H372" s="8" t="s">
        <v>181</v>
      </c>
      <c r="I372" t="str">
        <f t="shared" si="5"/>
        <v>Lashaway#2023-09-16</v>
      </c>
      <c r="J372" t="s">
        <v>920</v>
      </c>
    </row>
    <row r="373" spans="1:10">
      <c r="A373" t="s">
        <v>921</v>
      </c>
      <c r="B373" s="6">
        <v>45201</v>
      </c>
      <c r="C373">
        <v>2023</v>
      </c>
      <c r="D373">
        <v>10</v>
      </c>
      <c r="E373">
        <v>2</v>
      </c>
      <c r="F373" t="s">
        <v>237</v>
      </c>
      <c r="G373" t="str">
        <f>VLOOKUP(F373,'Pond name mapping'!B$3:C$91,2,FALSE)</f>
        <v>Lashaway</v>
      </c>
      <c r="H373" s="8" t="s">
        <v>190</v>
      </c>
      <c r="I373" t="str">
        <f t="shared" si="5"/>
        <v>Lashaway#2023-10-02</v>
      </c>
      <c r="J373" t="s">
        <v>922</v>
      </c>
    </row>
    <row r="374" spans="1:10">
      <c r="A374" t="s">
        <v>923</v>
      </c>
      <c r="B374" s="6">
        <v>45213</v>
      </c>
      <c r="C374">
        <v>2023</v>
      </c>
      <c r="D374">
        <v>10</v>
      </c>
      <c r="E374">
        <v>14</v>
      </c>
      <c r="F374" t="s">
        <v>237</v>
      </c>
      <c r="G374" t="str">
        <f>VLOOKUP(F374,'Pond name mapping'!B$3:C$91,2,FALSE)</f>
        <v>Lashaway</v>
      </c>
      <c r="H374" s="8" t="s">
        <v>186</v>
      </c>
      <c r="I374" t="str">
        <f t="shared" si="5"/>
        <v>Lashaway#2023-10-14</v>
      </c>
      <c r="J374" t="s">
        <v>924</v>
      </c>
    </row>
    <row r="375" spans="1:10">
      <c r="A375" t="s">
        <v>925</v>
      </c>
      <c r="B375" s="6">
        <v>45229</v>
      </c>
      <c r="C375">
        <v>2023</v>
      </c>
      <c r="D375">
        <v>10</v>
      </c>
      <c r="E375">
        <v>30</v>
      </c>
      <c r="F375" t="s">
        <v>237</v>
      </c>
      <c r="G375" t="str">
        <f>VLOOKUP(F375,'Pond name mapping'!B$3:C$91,2,FALSE)</f>
        <v>Lashaway</v>
      </c>
      <c r="H375" s="8" t="s">
        <v>355</v>
      </c>
      <c r="I375" t="str">
        <f t="shared" si="5"/>
        <v>Lashaway#2023-10-30</v>
      </c>
      <c r="J375" t="s">
        <v>926</v>
      </c>
    </row>
    <row r="376" spans="1:10">
      <c r="A376" t="s">
        <v>927</v>
      </c>
      <c r="B376" s="6">
        <v>45145</v>
      </c>
      <c r="C376">
        <v>2023</v>
      </c>
      <c r="D376">
        <v>8</v>
      </c>
      <c r="E376">
        <v>7</v>
      </c>
      <c r="F376" t="s">
        <v>238</v>
      </c>
      <c r="G376" t="str">
        <f>VLOOKUP(F376,'Pond name mapping'!B$3:C$91,2,FALSE)</f>
        <v>Quinsigamond</v>
      </c>
      <c r="H376" s="8" t="s">
        <v>180</v>
      </c>
      <c r="I376" t="str">
        <f t="shared" si="5"/>
        <v>Quinsigamond#2023-08-07</v>
      </c>
      <c r="J376" t="s">
        <v>928</v>
      </c>
    </row>
    <row r="377" spans="1:10">
      <c r="A377" t="s">
        <v>929</v>
      </c>
      <c r="B377" s="6">
        <v>45073</v>
      </c>
      <c r="C377">
        <v>2023</v>
      </c>
      <c r="D377">
        <v>5</v>
      </c>
      <c r="E377">
        <v>27</v>
      </c>
      <c r="F377" t="s">
        <v>239</v>
      </c>
      <c r="G377" t="str">
        <f>VLOOKUP(F377,'Pond name mapping'!B$3:C$91,2,FALSE)</f>
        <v>Quinsigamond</v>
      </c>
      <c r="H377" s="8" t="s">
        <v>188</v>
      </c>
      <c r="I377" t="str">
        <f t="shared" si="5"/>
        <v>Quinsigamond#2023-05-27</v>
      </c>
      <c r="J377" t="s">
        <v>930</v>
      </c>
    </row>
    <row r="378" spans="1:10">
      <c r="A378" t="s">
        <v>931</v>
      </c>
      <c r="B378" s="6">
        <v>45157</v>
      </c>
      <c r="C378">
        <v>2023</v>
      </c>
      <c r="D378">
        <v>8</v>
      </c>
      <c r="E378">
        <v>19</v>
      </c>
      <c r="F378" t="s">
        <v>239</v>
      </c>
      <c r="G378" t="str">
        <f>VLOOKUP(F378,'Pond name mapping'!B$3:C$91,2,FALSE)</f>
        <v>Quinsigamond</v>
      </c>
      <c r="H378" s="8" t="s">
        <v>184</v>
      </c>
      <c r="I378" t="str">
        <f t="shared" si="5"/>
        <v>Quinsigamond#2023-08-19</v>
      </c>
      <c r="J378" t="s">
        <v>932</v>
      </c>
    </row>
    <row r="379" spans="1:10">
      <c r="A379" t="s">
        <v>933</v>
      </c>
      <c r="B379" s="6">
        <v>45174</v>
      </c>
      <c r="C379">
        <v>2023</v>
      </c>
      <c r="D379">
        <v>9</v>
      </c>
      <c r="E379">
        <v>5</v>
      </c>
      <c r="F379" t="s">
        <v>239</v>
      </c>
      <c r="G379" t="str">
        <f>VLOOKUP(F379,'Pond name mapping'!B$3:C$91,2,FALSE)</f>
        <v>Quinsigamond</v>
      </c>
      <c r="H379" s="8" t="s">
        <v>185</v>
      </c>
      <c r="I379" t="str">
        <f t="shared" si="5"/>
        <v>Quinsigamond#2023-09-05</v>
      </c>
      <c r="J379" t="s">
        <v>934</v>
      </c>
    </row>
    <row r="380" spans="1:10">
      <c r="A380" t="s">
        <v>935</v>
      </c>
      <c r="B380" s="6">
        <v>45185</v>
      </c>
      <c r="C380">
        <v>2023</v>
      </c>
      <c r="D380">
        <v>9</v>
      </c>
      <c r="E380">
        <v>16</v>
      </c>
      <c r="F380" t="s">
        <v>239</v>
      </c>
      <c r="G380" t="str">
        <f>VLOOKUP(F380,'Pond name mapping'!B$3:C$91,2,FALSE)</f>
        <v>Quinsigamond</v>
      </c>
      <c r="H380" s="8" t="s">
        <v>181</v>
      </c>
      <c r="I380" t="str">
        <f t="shared" si="5"/>
        <v>Quinsigamond#2023-09-16</v>
      </c>
      <c r="J380" t="s">
        <v>936</v>
      </c>
    </row>
    <row r="381" spans="1:10">
      <c r="A381" t="s">
        <v>937</v>
      </c>
      <c r="B381" s="6">
        <v>45213</v>
      </c>
      <c r="C381">
        <v>2023</v>
      </c>
      <c r="D381">
        <v>10</v>
      </c>
      <c r="E381">
        <v>14</v>
      </c>
      <c r="F381" t="s">
        <v>239</v>
      </c>
      <c r="G381" t="str">
        <f>VLOOKUP(F381,'Pond name mapping'!B$3:C$91,2,FALSE)</f>
        <v>Quinsigamond</v>
      </c>
      <c r="H381" s="8" t="s">
        <v>186</v>
      </c>
      <c r="I381" t="str">
        <f t="shared" si="5"/>
        <v>Quinsigamond#2023-10-14</v>
      </c>
      <c r="J381" t="s">
        <v>938</v>
      </c>
    </row>
    <row r="382" spans="1:10">
      <c r="A382" t="s">
        <v>939</v>
      </c>
      <c r="B382" s="6">
        <v>45229</v>
      </c>
      <c r="C382">
        <v>2023</v>
      </c>
      <c r="D382">
        <v>10</v>
      </c>
      <c r="E382">
        <v>30</v>
      </c>
      <c r="F382" t="s">
        <v>239</v>
      </c>
      <c r="G382" t="str">
        <f>VLOOKUP(F382,'Pond name mapping'!B$3:C$91,2,FALSE)</f>
        <v>Quinsigamond</v>
      </c>
      <c r="H382" s="8" t="s">
        <v>355</v>
      </c>
      <c r="I382" t="str">
        <f t="shared" si="5"/>
        <v>Quinsigamond#2023-10-30</v>
      </c>
      <c r="J382" t="s">
        <v>940</v>
      </c>
    </row>
    <row r="383" spans="1:10">
      <c r="A383" t="s">
        <v>941</v>
      </c>
      <c r="B383" s="6">
        <v>45073</v>
      </c>
      <c r="C383">
        <v>2023</v>
      </c>
      <c r="D383">
        <v>5</v>
      </c>
      <c r="E383">
        <v>27</v>
      </c>
      <c r="F383" t="s">
        <v>240</v>
      </c>
      <c r="G383" t="str">
        <f>VLOOKUP(F383,'Pond name mapping'!B$3:C$91,2,FALSE)</f>
        <v>Waushacum</v>
      </c>
      <c r="H383" s="8" t="s">
        <v>188</v>
      </c>
      <c r="I383" t="str">
        <f t="shared" si="5"/>
        <v>Waushacum#2023-05-27</v>
      </c>
      <c r="J383" t="s">
        <v>942</v>
      </c>
    </row>
    <row r="384" spans="1:10">
      <c r="A384" t="s">
        <v>943</v>
      </c>
      <c r="B384" s="6">
        <v>45045</v>
      </c>
      <c r="C384">
        <v>2023</v>
      </c>
      <c r="D384">
        <v>4</v>
      </c>
      <c r="E384">
        <v>29</v>
      </c>
      <c r="F384" t="s">
        <v>57</v>
      </c>
      <c r="G384" t="str">
        <f>VLOOKUP(F384,'Pond name mapping'!B$3:C$91,2,FALSE)</f>
        <v>Lashaway</v>
      </c>
      <c r="H384" s="8" t="s">
        <v>300</v>
      </c>
      <c r="I384" t="str">
        <f t="shared" si="5"/>
        <v>Lashaway#2023-04-29</v>
      </c>
      <c r="J384" t="s">
        <v>944</v>
      </c>
    </row>
    <row r="385" spans="1:10">
      <c r="A385" t="s">
        <v>945</v>
      </c>
      <c r="B385" s="6">
        <v>45446</v>
      </c>
      <c r="C385">
        <v>2024</v>
      </c>
      <c r="D385">
        <v>6</v>
      </c>
      <c r="E385">
        <v>3</v>
      </c>
      <c r="F385" t="s">
        <v>57</v>
      </c>
      <c r="G385" t="str">
        <f>VLOOKUP(F385,'Pond name mapping'!B$3:C$91,2,FALSE)</f>
        <v>Lashaway</v>
      </c>
      <c r="H385" s="8" t="s">
        <v>334</v>
      </c>
      <c r="I385" t="str">
        <f t="shared" si="5"/>
        <v>Lashaway#2024-06-03</v>
      </c>
      <c r="J385" t="s">
        <v>946</v>
      </c>
    </row>
    <row r="386" spans="1:10">
      <c r="A386" t="s">
        <v>947</v>
      </c>
      <c r="B386" s="6">
        <v>45073</v>
      </c>
      <c r="C386">
        <v>2023</v>
      </c>
      <c r="D386">
        <v>5</v>
      </c>
      <c r="E386">
        <v>27</v>
      </c>
      <c r="F386" t="s">
        <v>241</v>
      </c>
      <c r="G386" t="str">
        <f>VLOOKUP(F386,'Pond name mapping'!B$3:C$91,2,FALSE)</f>
        <v>Leesville</v>
      </c>
      <c r="H386" s="8" t="s">
        <v>188</v>
      </c>
      <c r="I386" t="str">
        <f t="shared" si="5"/>
        <v>Leesville#2023-05-27</v>
      </c>
      <c r="J386" t="s">
        <v>948</v>
      </c>
    </row>
    <row r="387" spans="1:10">
      <c r="A387" t="s">
        <v>949</v>
      </c>
      <c r="B387" s="6">
        <v>44366</v>
      </c>
      <c r="C387">
        <v>2021</v>
      </c>
      <c r="D387">
        <v>6</v>
      </c>
      <c r="E387">
        <v>19</v>
      </c>
      <c r="F387" t="s">
        <v>241</v>
      </c>
      <c r="G387" t="str">
        <f>VLOOKUP(F387,'Pond name mapping'!B$3:C$91,2,FALSE)</f>
        <v>Leesville</v>
      </c>
      <c r="H387" s="8" t="s">
        <v>303</v>
      </c>
      <c r="I387" t="str">
        <f t="shared" si="5"/>
        <v>Leesville#2021-06-19</v>
      </c>
      <c r="J387" t="s">
        <v>949</v>
      </c>
    </row>
    <row r="388" spans="1:10">
      <c r="A388" t="s">
        <v>950</v>
      </c>
      <c r="B388" s="6">
        <v>44702</v>
      </c>
      <c r="C388">
        <v>2022</v>
      </c>
      <c r="D388">
        <v>5</v>
      </c>
      <c r="E388">
        <v>21</v>
      </c>
      <c r="F388" t="s">
        <v>241</v>
      </c>
      <c r="G388" t="str">
        <f>VLOOKUP(F388,'Pond name mapping'!B$3:C$91,2,FALSE)</f>
        <v>Leesville</v>
      </c>
      <c r="H388" s="8" t="s">
        <v>307</v>
      </c>
      <c r="I388" t="str">
        <f t="shared" si="5"/>
        <v>Leesville#2022-05-21</v>
      </c>
      <c r="J388" t="s">
        <v>950</v>
      </c>
    </row>
    <row r="389" spans="1:10">
      <c r="A389" t="s">
        <v>951</v>
      </c>
      <c r="B389" s="6">
        <v>44730</v>
      </c>
      <c r="C389">
        <v>2022</v>
      </c>
      <c r="D389">
        <v>6</v>
      </c>
      <c r="E389">
        <v>18</v>
      </c>
      <c r="F389" t="s">
        <v>241</v>
      </c>
      <c r="G389" t="str">
        <f>VLOOKUP(F389,'Pond name mapping'!B$3:C$91,2,FALSE)</f>
        <v>Leesville</v>
      </c>
      <c r="H389" s="8" t="s">
        <v>311</v>
      </c>
      <c r="I389" t="str">
        <f t="shared" ref="I389:I452" si="6">CONCATENATE(G389,"#",H389)</f>
        <v>Leesville#2022-06-18</v>
      </c>
      <c r="J389" t="s">
        <v>951</v>
      </c>
    </row>
    <row r="390" spans="1:10">
      <c r="A390" t="s">
        <v>952</v>
      </c>
      <c r="B390" s="6">
        <v>44758</v>
      </c>
      <c r="C390">
        <v>2022</v>
      </c>
      <c r="D390">
        <v>7</v>
      </c>
      <c r="E390">
        <v>16</v>
      </c>
      <c r="F390" t="s">
        <v>241</v>
      </c>
      <c r="G390" t="str">
        <f>VLOOKUP(F390,'Pond name mapping'!B$3:C$91,2,FALSE)</f>
        <v>Leesville</v>
      </c>
      <c r="H390" s="8" t="s">
        <v>315</v>
      </c>
      <c r="I390" t="str">
        <f t="shared" si="6"/>
        <v>Leesville#2022-07-16</v>
      </c>
      <c r="J390" t="s">
        <v>952</v>
      </c>
    </row>
    <row r="391" spans="1:10">
      <c r="A391" t="s">
        <v>953</v>
      </c>
      <c r="B391" s="6">
        <v>44849</v>
      </c>
      <c r="C391">
        <v>2022</v>
      </c>
      <c r="D391">
        <v>10</v>
      </c>
      <c r="E391">
        <v>15</v>
      </c>
      <c r="F391" t="s">
        <v>241</v>
      </c>
      <c r="G391" t="str">
        <f>VLOOKUP(F391,'Pond name mapping'!B$3:C$91,2,FALSE)</f>
        <v>Leesville</v>
      </c>
      <c r="H391" s="8" t="s">
        <v>379</v>
      </c>
      <c r="I391" t="str">
        <f t="shared" si="6"/>
        <v>Leesville#2022-10-15</v>
      </c>
      <c r="J391" t="s">
        <v>953</v>
      </c>
    </row>
    <row r="392" spans="1:10">
      <c r="A392" t="s">
        <v>954</v>
      </c>
      <c r="B392" s="6">
        <v>44464</v>
      </c>
      <c r="C392">
        <v>2021</v>
      </c>
      <c r="D392">
        <v>9</v>
      </c>
      <c r="E392">
        <v>25</v>
      </c>
      <c r="F392" t="s">
        <v>241</v>
      </c>
      <c r="G392" t="str">
        <f>VLOOKUP(F392,'Pond name mapping'!B$3:C$91,2,FALSE)</f>
        <v>Leesville</v>
      </c>
      <c r="H392" s="8" t="s">
        <v>329</v>
      </c>
      <c r="I392" t="str">
        <f t="shared" si="6"/>
        <v>Leesville#2021-09-25</v>
      </c>
      <c r="J392" t="s">
        <v>954</v>
      </c>
    </row>
    <row r="393" spans="1:10">
      <c r="A393" t="s">
        <v>955</v>
      </c>
      <c r="B393" s="6">
        <v>44464</v>
      </c>
      <c r="C393">
        <v>2021</v>
      </c>
      <c r="D393">
        <v>9</v>
      </c>
      <c r="E393">
        <v>25</v>
      </c>
      <c r="F393" t="s">
        <v>241</v>
      </c>
      <c r="G393" t="str">
        <f>VLOOKUP(F393,'Pond name mapping'!B$3:C$91,2,FALSE)</f>
        <v>Leesville</v>
      </c>
      <c r="H393" s="8" t="s">
        <v>329</v>
      </c>
      <c r="I393" t="str">
        <f t="shared" si="6"/>
        <v>Leesville#2021-09-25</v>
      </c>
      <c r="J393" t="s">
        <v>955</v>
      </c>
    </row>
    <row r="394" spans="1:10">
      <c r="A394" t="s">
        <v>956</v>
      </c>
      <c r="B394" s="6">
        <v>44485</v>
      </c>
      <c r="C394">
        <v>2021</v>
      </c>
      <c r="D394">
        <v>10</v>
      </c>
      <c r="E394">
        <v>16</v>
      </c>
      <c r="F394" t="s">
        <v>241</v>
      </c>
      <c r="G394" t="str">
        <f>VLOOKUP(F394,'Pond name mapping'!B$3:C$91,2,FALSE)</f>
        <v>Leesville</v>
      </c>
      <c r="H394" s="8" t="s">
        <v>331</v>
      </c>
      <c r="I394" t="str">
        <f t="shared" si="6"/>
        <v>Leesville#2021-10-16</v>
      </c>
      <c r="J394" t="s">
        <v>956</v>
      </c>
    </row>
    <row r="395" spans="1:10">
      <c r="A395" t="s">
        <v>957</v>
      </c>
      <c r="B395" s="6">
        <v>44485</v>
      </c>
      <c r="C395">
        <v>2021</v>
      </c>
      <c r="D395">
        <v>10</v>
      </c>
      <c r="E395">
        <v>16</v>
      </c>
      <c r="F395" t="s">
        <v>241</v>
      </c>
      <c r="G395" t="str">
        <f>VLOOKUP(F395,'Pond name mapping'!B$3:C$91,2,FALSE)</f>
        <v>Leesville</v>
      </c>
      <c r="H395" s="8" t="s">
        <v>331</v>
      </c>
      <c r="I395" t="str">
        <f t="shared" si="6"/>
        <v>Leesville#2021-10-16</v>
      </c>
      <c r="J395" t="s">
        <v>957</v>
      </c>
    </row>
    <row r="396" spans="1:10">
      <c r="A396" t="s">
        <v>958</v>
      </c>
      <c r="B396" s="6">
        <v>45061</v>
      </c>
      <c r="C396">
        <v>2023</v>
      </c>
      <c r="D396">
        <v>5</v>
      </c>
      <c r="E396">
        <v>15</v>
      </c>
      <c r="F396" t="s">
        <v>242</v>
      </c>
      <c r="G396" t="str">
        <f>VLOOKUP(F396,'Pond name mapping'!B$3:C$91,2,FALSE)</f>
        <v>Leesville</v>
      </c>
      <c r="H396" s="8" t="s">
        <v>187</v>
      </c>
      <c r="I396" t="str">
        <f t="shared" si="6"/>
        <v>Leesville#2023-05-15</v>
      </c>
      <c r="J396" t="s">
        <v>959</v>
      </c>
    </row>
    <row r="397" spans="1:10">
      <c r="A397" t="s">
        <v>960</v>
      </c>
      <c r="B397" s="6">
        <v>45101</v>
      </c>
      <c r="C397">
        <v>2023</v>
      </c>
      <c r="D397">
        <v>6</v>
      </c>
      <c r="E397">
        <v>24</v>
      </c>
      <c r="F397" t="s">
        <v>242</v>
      </c>
      <c r="G397" t="str">
        <f>VLOOKUP(F397,'Pond name mapping'!B$3:C$91,2,FALSE)</f>
        <v>Leesville</v>
      </c>
      <c r="H397" s="8" t="s">
        <v>283</v>
      </c>
      <c r="I397" t="str">
        <f t="shared" si="6"/>
        <v>Leesville#2023-06-24</v>
      </c>
      <c r="J397" t="s">
        <v>961</v>
      </c>
    </row>
    <row r="398" spans="1:10">
      <c r="A398" t="s">
        <v>962</v>
      </c>
      <c r="B398" s="6">
        <v>45129</v>
      </c>
      <c r="C398">
        <v>2023</v>
      </c>
      <c r="D398">
        <v>7</v>
      </c>
      <c r="E398">
        <v>22</v>
      </c>
      <c r="F398" t="s">
        <v>242</v>
      </c>
      <c r="G398" t="str">
        <f>VLOOKUP(F398,'Pond name mapping'!B$3:C$91,2,FALSE)</f>
        <v>Leesville</v>
      </c>
      <c r="H398" s="8" t="s">
        <v>183</v>
      </c>
      <c r="I398" t="str">
        <f t="shared" si="6"/>
        <v>Leesville#2023-07-22</v>
      </c>
      <c r="J398" t="s">
        <v>963</v>
      </c>
    </row>
    <row r="399" spans="1:10">
      <c r="A399" t="s">
        <v>964</v>
      </c>
      <c r="B399" s="6">
        <v>45157</v>
      </c>
      <c r="C399">
        <v>2023</v>
      </c>
      <c r="D399">
        <v>8</v>
      </c>
      <c r="E399">
        <v>19</v>
      </c>
      <c r="F399" t="s">
        <v>242</v>
      </c>
      <c r="G399" t="str">
        <f>VLOOKUP(F399,'Pond name mapping'!B$3:C$91,2,FALSE)</f>
        <v>Leesville</v>
      </c>
      <c r="H399" s="8" t="s">
        <v>184</v>
      </c>
      <c r="I399" t="str">
        <f t="shared" si="6"/>
        <v>Leesville#2023-08-19</v>
      </c>
      <c r="J399" t="s">
        <v>965</v>
      </c>
    </row>
    <row r="400" spans="1:10">
      <c r="A400" t="s">
        <v>966</v>
      </c>
      <c r="B400" s="6">
        <v>45174</v>
      </c>
      <c r="C400">
        <v>2023</v>
      </c>
      <c r="D400">
        <v>9</v>
      </c>
      <c r="E400">
        <v>5</v>
      </c>
      <c r="F400" t="s">
        <v>242</v>
      </c>
      <c r="G400" t="str">
        <f>VLOOKUP(F400,'Pond name mapping'!B$3:C$91,2,FALSE)</f>
        <v>Leesville</v>
      </c>
      <c r="H400" s="8" t="s">
        <v>185</v>
      </c>
      <c r="I400" t="str">
        <f t="shared" si="6"/>
        <v>Leesville#2023-09-05</v>
      </c>
      <c r="J400" t="s">
        <v>967</v>
      </c>
    </row>
    <row r="401" spans="1:10">
      <c r="A401" t="s">
        <v>968</v>
      </c>
      <c r="B401" s="6">
        <v>45185</v>
      </c>
      <c r="C401">
        <v>2023</v>
      </c>
      <c r="D401">
        <v>9</v>
      </c>
      <c r="E401">
        <v>16</v>
      </c>
      <c r="F401" t="s">
        <v>242</v>
      </c>
      <c r="G401" t="str">
        <f>VLOOKUP(F401,'Pond name mapping'!B$3:C$91,2,FALSE)</f>
        <v>Leesville</v>
      </c>
      <c r="H401" s="8" t="s">
        <v>181</v>
      </c>
      <c r="I401" t="str">
        <f t="shared" si="6"/>
        <v>Leesville#2023-09-16</v>
      </c>
      <c r="J401" t="s">
        <v>969</v>
      </c>
    </row>
    <row r="402" spans="1:10">
      <c r="A402" t="s">
        <v>970</v>
      </c>
      <c r="B402" s="6">
        <v>45229</v>
      </c>
      <c r="C402">
        <v>2023</v>
      </c>
      <c r="D402">
        <v>10</v>
      </c>
      <c r="E402">
        <v>30</v>
      </c>
      <c r="F402" t="s">
        <v>242</v>
      </c>
      <c r="G402" t="str">
        <f>VLOOKUP(F402,'Pond name mapping'!B$3:C$91,2,FALSE)</f>
        <v>Leesville</v>
      </c>
      <c r="H402" s="8" t="s">
        <v>355</v>
      </c>
      <c r="I402" t="str">
        <f t="shared" si="6"/>
        <v>Leesville#2023-10-30</v>
      </c>
      <c r="J402" t="s">
        <v>971</v>
      </c>
    </row>
    <row r="403" spans="1:10">
      <c r="A403" t="s">
        <v>972</v>
      </c>
      <c r="B403" s="6">
        <v>45045</v>
      </c>
      <c r="C403">
        <v>2023</v>
      </c>
      <c r="D403">
        <v>4</v>
      </c>
      <c r="E403">
        <v>29</v>
      </c>
      <c r="F403" t="s">
        <v>62</v>
      </c>
      <c r="G403" t="str">
        <f>VLOOKUP(F403,'Pond name mapping'!B$3:C$91,2,FALSE)</f>
        <v>Leesville</v>
      </c>
      <c r="H403" s="8" t="s">
        <v>300</v>
      </c>
      <c r="I403" t="str">
        <f t="shared" si="6"/>
        <v>Leesville#2023-04-29</v>
      </c>
      <c r="J403" t="s">
        <v>973</v>
      </c>
    </row>
    <row r="404" spans="1:10">
      <c r="A404" t="s">
        <v>974</v>
      </c>
      <c r="B404" s="6">
        <v>45089</v>
      </c>
      <c r="C404">
        <v>2023</v>
      </c>
      <c r="D404">
        <v>6</v>
      </c>
      <c r="E404">
        <v>12</v>
      </c>
      <c r="F404" t="s">
        <v>62</v>
      </c>
      <c r="G404" t="str">
        <f>VLOOKUP(F404,'Pond name mapping'!B$3:C$91,2,FALSE)</f>
        <v>Leesville</v>
      </c>
      <c r="H404" s="8" t="s">
        <v>189</v>
      </c>
      <c r="I404" t="str">
        <f t="shared" si="6"/>
        <v>Leesville#2023-06-12</v>
      </c>
      <c r="J404" t="s">
        <v>975</v>
      </c>
    </row>
    <row r="405" spans="1:10">
      <c r="A405" t="s">
        <v>976</v>
      </c>
      <c r="B405" s="6">
        <v>44800</v>
      </c>
      <c r="C405">
        <v>2022</v>
      </c>
      <c r="D405">
        <v>8</v>
      </c>
      <c r="E405">
        <v>27</v>
      </c>
      <c r="F405" t="s">
        <v>62</v>
      </c>
      <c r="G405" t="str">
        <f>VLOOKUP(F405,'Pond name mapping'!B$3:C$91,2,FALSE)</f>
        <v>Leesville</v>
      </c>
      <c r="H405" s="8" t="s">
        <v>376</v>
      </c>
      <c r="I405" t="str">
        <f t="shared" si="6"/>
        <v>Leesville#2022-08-27</v>
      </c>
      <c r="J405" t="s">
        <v>976</v>
      </c>
    </row>
    <row r="406" spans="1:10">
      <c r="A406" t="s">
        <v>977</v>
      </c>
      <c r="B406" s="6">
        <v>44828</v>
      </c>
      <c r="C406">
        <v>2022</v>
      </c>
      <c r="D406">
        <v>9</v>
      </c>
      <c r="E406">
        <v>24</v>
      </c>
      <c r="F406" t="s">
        <v>62</v>
      </c>
      <c r="G406" t="str">
        <f>VLOOKUP(F406,'Pond name mapping'!B$3:C$91,2,FALSE)</f>
        <v>Leesville</v>
      </c>
      <c r="H406" s="8" t="s">
        <v>324</v>
      </c>
      <c r="I406" t="str">
        <f t="shared" si="6"/>
        <v>Leesville#2022-09-24</v>
      </c>
      <c r="J406" t="s">
        <v>977</v>
      </c>
    </row>
    <row r="407" spans="1:10">
      <c r="A407" t="s">
        <v>978</v>
      </c>
      <c r="B407" s="6">
        <v>45129</v>
      </c>
      <c r="C407">
        <v>2023</v>
      </c>
      <c r="D407">
        <v>7</v>
      </c>
      <c r="E407">
        <v>22</v>
      </c>
      <c r="F407" t="s">
        <v>243</v>
      </c>
      <c r="G407" t="str">
        <f>VLOOKUP(F407,'Pond name mapping'!B$3:C$91,2,FALSE)</f>
        <v>L.Indian</v>
      </c>
      <c r="H407" s="8" t="s">
        <v>183</v>
      </c>
      <c r="I407" t="str">
        <f t="shared" si="6"/>
        <v>L.Indian#2023-07-22</v>
      </c>
      <c r="J407" t="s">
        <v>979</v>
      </c>
    </row>
    <row r="408" spans="1:10">
      <c r="A408" t="s">
        <v>980</v>
      </c>
      <c r="B408" s="6">
        <v>45145</v>
      </c>
      <c r="C408">
        <v>2023</v>
      </c>
      <c r="D408">
        <v>8</v>
      </c>
      <c r="E408">
        <v>7</v>
      </c>
      <c r="F408" t="s">
        <v>243</v>
      </c>
      <c r="G408" t="str">
        <f>VLOOKUP(F408,'Pond name mapping'!B$3:C$91,2,FALSE)</f>
        <v>L.Indian</v>
      </c>
      <c r="H408" s="8" t="s">
        <v>180</v>
      </c>
      <c r="I408" t="str">
        <f t="shared" si="6"/>
        <v>L.Indian#2023-08-07</v>
      </c>
      <c r="J408" t="s">
        <v>981</v>
      </c>
    </row>
    <row r="409" spans="1:10">
      <c r="A409" t="s">
        <v>982</v>
      </c>
      <c r="B409" s="6">
        <v>45174</v>
      </c>
      <c r="C409">
        <v>2023</v>
      </c>
      <c r="D409">
        <v>9</v>
      </c>
      <c r="E409">
        <v>5</v>
      </c>
      <c r="F409" t="s">
        <v>243</v>
      </c>
      <c r="G409" t="str">
        <f>VLOOKUP(F409,'Pond name mapping'!B$3:C$91,2,FALSE)</f>
        <v>L.Indian</v>
      </c>
      <c r="H409" s="8" t="s">
        <v>185</v>
      </c>
      <c r="I409" t="str">
        <f t="shared" si="6"/>
        <v>L.Indian#2023-09-05</v>
      </c>
      <c r="J409" t="s">
        <v>983</v>
      </c>
    </row>
    <row r="410" spans="1:10">
      <c r="A410" t="s">
        <v>984</v>
      </c>
      <c r="B410" s="6">
        <v>45213</v>
      </c>
      <c r="C410">
        <v>2023</v>
      </c>
      <c r="D410">
        <v>10</v>
      </c>
      <c r="E410">
        <v>14</v>
      </c>
      <c r="F410" t="s">
        <v>243</v>
      </c>
      <c r="G410" t="str">
        <f>VLOOKUP(F410,'Pond name mapping'!B$3:C$91,2,FALSE)</f>
        <v>L.Indian</v>
      </c>
      <c r="H410" s="8" t="s">
        <v>186</v>
      </c>
      <c r="I410" t="str">
        <f t="shared" si="6"/>
        <v>L.Indian#2023-10-14</v>
      </c>
      <c r="J410" t="s">
        <v>985</v>
      </c>
    </row>
    <row r="411" spans="1:10">
      <c r="A411" t="s">
        <v>986</v>
      </c>
      <c r="B411" s="6">
        <v>45229</v>
      </c>
      <c r="C411">
        <v>2023</v>
      </c>
      <c r="D411">
        <v>10</v>
      </c>
      <c r="E411">
        <v>30</v>
      </c>
      <c r="F411" t="s">
        <v>243</v>
      </c>
      <c r="G411" t="str">
        <f>VLOOKUP(F411,'Pond name mapping'!B$3:C$91,2,FALSE)</f>
        <v>L.Indian</v>
      </c>
      <c r="H411" s="8" t="s">
        <v>355</v>
      </c>
      <c r="I411" t="str">
        <f t="shared" si="6"/>
        <v>L.Indian#2023-10-30</v>
      </c>
      <c r="J411" t="s">
        <v>987</v>
      </c>
    </row>
    <row r="412" spans="1:10">
      <c r="A412" t="s">
        <v>988</v>
      </c>
      <c r="B412" s="6">
        <v>45045</v>
      </c>
      <c r="C412">
        <v>2023</v>
      </c>
      <c r="D412">
        <v>4</v>
      </c>
      <c r="E412">
        <v>29</v>
      </c>
      <c r="F412" t="s">
        <v>244</v>
      </c>
      <c r="G412" t="str">
        <f>VLOOKUP(F412,'Pond name mapping'!B$3:C$91,2,FALSE)</f>
        <v>L.Indian</v>
      </c>
      <c r="H412" s="8" t="s">
        <v>300</v>
      </c>
      <c r="I412" t="str">
        <f t="shared" si="6"/>
        <v>L.Indian#2023-04-29</v>
      </c>
      <c r="J412" t="s">
        <v>989</v>
      </c>
    </row>
    <row r="413" spans="1:10">
      <c r="A413" t="s">
        <v>990</v>
      </c>
      <c r="B413" s="6">
        <v>45061</v>
      </c>
      <c r="C413">
        <v>2023</v>
      </c>
      <c r="D413">
        <v>5</v>
      </c>
      <c r="E413">
        <v>15</v>
      </c>
      <c r="F413" t="s">
        <v>244</v>
      </c>
      <c r="G413" t="str">
        <f>VLOOKUP(F413,'Pond name mapping'!B$3:C$91,2,FALSE)</f>
        <v>L.Indian</v>
      </c>
      <c r="H413" s="8" t="s">
        <v>187</v>
      </c>
      <c r="I413" t="str">
        <f t="shared" si="6"/>
        <v>L.Indian#2023-05-15</v>
      </c>
      <c r="J413" t="s">
        <v>991</v>
      </c>
    </row>
    <row r="414" spans="1:10">
      <c r="A414" t="s">
        <v>992</v>
      </c>
      <c r="B414" s="6">
        <v>45073</v>
      </c>
      <c r="C414">
        <v>2023</v>
      </c>
      <c r="D414">
        <v>5</v>
      </c>
      <c r="E414">
        <v>27</v>
      </c>
      <c r="F414" t="s">
        <v>244</v>
      </c>
      <c r="G414" t="str">
        <f>VLOOKUP(F414,'Pond name mapping'!B$3:C$91,2,FALSE)</f>
        <v>L.Indian</v>
      </c>
      <c r="H414" s="8" t="s">
        <v>188</v>
      </c>
      <c r="I414" t="str">
        <f t="shared" si="6"/>
        <v>L.Indian#2023-05-27</v>
      </c>
      <c r="J414" t="s">
        <v>993</v>
      </c>
    </row>
    <row r="415" spans="1:10">
      <c r="A415" t="s">
        <v>994</v>
      </c>
      <c r="B415" s="6">
        <v>45446</v>
      </c>
      <c r="C415">
        <v>2024</v>
      </c>
      <c r="D415">
        <v>6</v>
      </c>
      <c r="E415">
        <v>3</v>
      </c>
      <c r="F415" t="s">
        <v>244</v>
      </c>
      <c r="G415" t="str">
        <f>VLOOKUP(F415,'Pond name mapping'!B$3:C$91,2,FALSE)</f>
        <v>L.Indian</v>
      </c>
      <c r="H415" s="8" t="s">
        <v>334</v>
      </c>
      <c r="I415" t="str">
        <f t="shared" si="6"/>
        <v>L.Indian#2024-06-03</v>
      </c>
      <c r="J415" t="s">
        <v>995</v>
      </c>
    </row>
    <row r="416" spans="1:10">
      <c r="A416" t="s">
        <v>996</v>
      </c>
      <c r="B416" s="6">
        <v>45089</v>
      </c>
      <c r="C416">
        <v>2023</v>
      </c>
      <c r="D416">
        <v>6</v>
      </c>
      <c r="E416">
        <v>12</v>
      </c>
      <c r="F416" t="s">
        <v>244</v>
      </c>
      <c r="G416" t="str">
        <f>VLOOKUP(F416,'Pond name mapping'!B$3:C$91,2,FALSE)</f>
        <v>L.Indian</v>
      </c>
      <c r="H416" s="8" t="s">
        <v>189</v>
      </c>
      <c r="I416" t="str">
        <f t="shared" si="6"/>
        <v>L.Indian#2023-06-12</v>
      </c>
      <c r="J416" t="s">
        <v>997</v>
      </c>
    </row>
    <row r="417" spans="1:10">
      <c r="A417" t="s">
        <v>998</v>
      </c>
      <c r="B417" s="6">
        <v>45089</v>
      </c>
      <c r="C417">
        <v>2023</v>
      </c>
      <c r="D417">
        <v>6</v>
      </c>
      <c r="E417">
        <v>12</v>
      </c>
      <c r="F417" t="s">
        <v>244</v>
      </c>
      <c r="G417" t="str">
        <f>VLOOKUP(F417,'Pond name mapping'!B$3:C$91,2,FALSE)</f>
        <v>L.Indian</v>
      </c>
      <c r="H417" s="8" t="s">
        <v>189</v>
      </c>
      <c r="I417" t="str">
        <f t="shared" si="6"/>
        <v>L.Indian#2023-06-12</v>
      </c>
      <c r="J417" t="s">
        <v>999</v>
      </c>
    </row>
    <row r="418" spans="1:10">
      <c r="A418" t="s">
        <v>1000</v>
      </c>
      <c r="B418" s="6">
        <v>45101</v>
      </c>
      <c r="C418">
        <v>2023</v>
      </c>
      <c r="D418">
        <v>6</v>
      </c>
      <c r="E418">
        <v>24</v>
      </c>
      <c r="F418" t="s">
        <v>244</v>
      </c>
      <c r="G418" t="str">
        <f>VLOOKUP(F418,'Pond name mapping'!B$3:C$91,2,FALSE)</f>
        <v>L.Indian</v>
      </c>
      <c r="H418" s="8" t="s">
        <v>283</v>
      </c>
      <c r="I418" t="str">
        <f t="shared" si="6"/>
        <v>L.Indian#2023-06-24</v>
      </c>
      <c r="J418" t="s">
        <v>1001</v>
      </c>
    </row>
    <row r="419" spans="1:10">
      <c r="A419" t="s">
        <v>1002</v>
      </c>
      <c r="B419" s="6">
        <v>45101</v>
      </c>
      <c r="C419">
        <v>2023</v>
      </c>
      <c r="D419">
        <v>6</v>
      </c>
      <c r="E419">
        <v>24</v>
      </c>
      <c r="F419" t="s">
        <v>244</v>
      </c>
      <c r="G419" t="str">
        <f>VLOOKUP(F419,'Pond name mapping'!B$3:C$91,2,FALSE)</f>
        <v>L.Indian</v>
      </c>
      <c r="H419" s="8" t="s">
        <v>283</v>
      </c>
      <c r="I419" t="str">
        <f t="shared" si="6"/>
        <v>L.Indian#2023-06-24</v>
      </c>
      <c r="J419" t="s">
        <v>1003</v>
      </c>
    </row>
    <row r="420" spans="1:10">
      <c r="A420" t="s">
        <v>1004</v>
      </c>
      <c r="B420" s="6">
        <v>45117</v>
      </c>
      <c r="C420">
        <v>2023</v>
      </c>
      <c r="D420">
        <v>7</v>
      </c>
      <c r="E420">
        <v>10</v>
      </c>
      <c r="F420" t="s">
        <v>244</v>
      </c>
      <c r="G420" t="str">
        <f>VLOOKUP(F420,'Pond name mapping'!B$3:C$91,2,FALSE)</f>
        <v>L.Indian</v>
      </c>
      <c r="H420" s="8" t="s">
        <v>182</v>
      </c>
      <c r="I420" t="str">
        <f t="shared" si="6"/>
        <v>L.Indian#2023-07-10</v>
      </c>
      <c r="J420" t="s">
        <v>1005</v>
      </c>
    </row>
    <row r="421" spans="1:10">
      <c r="A421" t="s">
        <v>1006</v>
      </c>
      <c r="B421" s="6">
        <v>45157</v>
      </c>
      <c r="C421">
        <v>2023</v>
      </c>
      <c r="D421">
        <v>8</v>
      </c>
      <c r="E421">
        <v>19</v>
      </c>
      <c r="F421" t="s">
        <v>244</v>
      </c>
      <c r="G421" t="str">
        <f>VLOOKUP(F421,'Pond name mapping'!B$3:C$91,2,FALSE)</f>
        <v>L.Indian</v>
      </c>
      <c r="H421" s="8" t="s">
        <v>184</v>
      </c>
      <c r="I421" t="str">
        <f t="shared" si="6"/>
        <v>L.Indian#2023-08-19</v>
      </c>
      <c r="J421" t="s">
        <v>1007</v>
      </c>
    </row>
    <row r="422" spans="1:10">
      <c r="A422" t="s">
        <v>1008</v>
      </c>
      <c r="B422" s="6">
        <v>45185</v>
      </c>
      <c r="C422">
        <v>2023</v>
      </c>
      <c r="D422">
        <v>9</v>
      </c>
      <c r="E422">
        <v>16</v>
      </c>
      <c r="F422" t="s">
        <v>244</v>
      </c>
      <c r="G422" t="str">
        <f>VLOOKUP(F422,'Pond name mapping'!B$3:C$91,2,FALSE)</f>
        <v>L.Indian</v>
      </c>
      <c r="H422" s="8" t="s">
        <v>181</v>
      </c>
      <c r="I422" t="str">
        <f t="shared" si="6"/>
        <v>L.Indian#2023-09-16</v>
      </c>
      <c r="J422" t="s">
        <v>1009</v>
      </c>
    </row>
    <row r="423" spans="1:10">
      <c r="A423" t="s">
        <v>1010</v>
      </c>
      <c r="B423" s="6">
        <v>45201</v>
      </c>
      <c r="C423">
        <v>2023</v>
      </c>
      <c r="D423">
        <v>10</v>
      </c>
      <c r="E423">
        <v>2</v>
      </c>
      <c r="F423" t="s">
        <v>244</v>
      </c>
      <c r="G423" t="str">
        <f>VLOOKUP(F423,'Pond name mapping'!B$3:C$91,2,FALSE)</f>
        <v>L.Indian</v>
      </c>
      <c r="H423" s="8" t="s">
        <v>190</v>
      </c>
      <c r="I423" t="str">
        <f t="shared" si="6"/>
        <v>L.Indian#2023-10-02</v>
      </c>
      <c r="J423" t="s">
        <v>1011</v>
      </c>
    </row>
    <row r="424" spans="1:10">
      <c r="A424" t="s">
        <v>1012</v>
      </c>
      <c r="B424" s="6">
        <v>44702</v>
      </c>
      <c r="C424">
        <v>2022</v>
      </c>
      <c r="D424">
        <v>5</v>
      </c>
      <c r="E424">
        <v>21</v>
      </c>
      <c r="F424" t="s">
        <v>244</v>
      </c>
      <c r="G424" t="str">
        <f>VLOOKUP(F424,'Pond name mapping'!B$3:C$91,2,FALSE)</f>
        <v>L.Indian</v>
      </c>
      <c r="H424" s="8" t="s">
        <v>307</v>
      </c>
      <c r="I424" t="str">
        <f t="shared" si="6"/>
        <v>L.Indian#2022-05-21</v>
      </c>
      <c r="J424" t="s">
        <v>1013</v>
      </c>
    </row>
    <row r="425" spans="1:10">
      <c r="A425" t="s">
        <v>1014</v>
      </c>
      <c r="B425" s="6">
        <v>44800</v>
      </c>
      <c r="C425">
        <v>2022</v>
      </c>
      <c r="D425">
        <v>8</v>
      </c>
      <c r="E425">
        <v>27</v>
      </c>
      <c r="F425" t="s">
        <v>244</v>
      </c>
      <c r="G425" t="str">
        <f>VLOOKUP(F425,'Pond name mapping'!B$3:C$91,2,FALSE)</f>
        <v>L.Indian</v>
      </c>
      <c r="H425" s="8" t="s">
        <v>376</v>
      </c>
      <c r="I425" t="str">
        <f t="shared" si="6"/>
        <v>L.Indian#2022-08-27</v>
      </c>
      <c r="J425" t="s">
        <v>1015</v>
      </c>
    </row>
    <row r="426" spans="1:10">
      <c r="A426" t="s">
        <v>1016</v>
      </c>
      <c r="B426" s="6">
        <v>44828</v>
      </c>
      <c r="C426">
        <v>2022</v>
      </c>
      <c r="D426">
        <v>9</v>
      </c>
      <c r="E426">
        <v>24</v>
      </c>
      <c r="F426" t="s">
        <v>244</v>
      </c>
      <c r="G426" t="str">
        <f>VLOOKUP(F426,'Pond name mapping'!B$3:C$91,2,FALSE)</f>
        <v>L.Indian</v>
      </c>
      <c r="H426" s="8" t="s">
        <v>324</v>
      </c>
      <c r="I426" t="str">
        <f t="shared" si="6"/>
        <v>L.Indian#2022-09-24</v>
      </c>
      <c r="J426" t="s">
        <v>1017</v>
      </c>
    </row>
    <row r="427" spans="1:10">
      <c r="A427" t="s">
        <v>1018</v>
      </c>
      <c r="B427" s="6">
        <v>44683</v>
      </c>
      <c r="C427">
        <v>2022</v>
      </c>
      <c r="D427">
        <v>5</v>
      </c>
      <c r="E427">
        <v>2</v>
      </c>
      <c r="F427" t="s">
        <v>244</v>
      </c>
      <c r="G427" t="str">
        <f>VLOOKUP(F427,'Pond name mapping'!B$3:C$91,2,FALSE)</f>
        <v>L.Indian</v>
      </c>
      <c r="H427" s="8" t="s">
        <v>305</v>
      </c>
      <c r="I427" t="str">
        <f t="shared" si="6"/>
        <v>L.Indian#2022-05-02</v>
      </c>
      <c r="J427" t="s">
        <v>1018</v>
      </c>
    </row>
    <row r="428" spans="1:10">
      <c r="A428" t="s">
        <v>1019</v>
      </c>
      <c r="B428" s="6">
        <v>44718</v>
      </c>
      <c r="C428">
        <v>2022</v>
      </c>
      <c r="D428">
        <v>6</v>
      </c>
      <c r="E428">
        <v>6</v>
      </c>
      <c r="F428" t="s">
        <v>244</v>
      </c>
      <c r="G428" t="str">
        <f>VLOOKUP(F428,'Pond name mapping'!B$3:C$91,2,FALSE)</f>
        <v>L.Indian</v>
      </c>
      <c r="H428" s="8" t="s">
        <v>309</v>
      </c>
      <c r="I428" t="str">
        <f t="shared" si="6"/>
        <v>L.Indian#2022-06-06</v>
      </c>
      <c r="J428" t="s">
        <v>1019</v>
      </c>
    </row>
    <row r="429" spans="1:10">
      <c r="A429" t="s">
        <v>1020</v>
      </c>
      <c r="B429" s="6">
        <v>44730</v>
      </c>
      <c r="C429">
        <v>2022</v>
      </c>
      <c r="D429">
        <v>6</v>
      </c>
      <c r="E429">
        <v>18</v>
      </c>
      <c r="F429" t="s">
        <v>244</v>
      </c>
      <c r="G429" t="str">
        <f>VLOOKUP(F429,'Pond name mapping'!B$3:C$91,2,FALSE)</f>
        <v>L.Indian</v>
      </c>
      <c r="H429" s="8" t="s">
        <v>311</v>
      </c>
      <c r="I429" t="str">
        <f t="shared" si="6"/>
        <v>L.Indian#2022-06-18</v>
      </c>
      <c r="J429" t="s">
        <v>1021</v>
      </c>
    </row>
    <row r="430" spans="1:10">
      <c r="A430" t="s">
        <v>1022</v>
      </c>
      <c r="B430" s="6">
        <v>44747</v>
      </c>
      <c r="C430">
        <v>2022</v>
      </c>
      <c r="D430">
        <v>7</v>
      </c>
      <c r="E430">
        <v>5</v>
      </c>
      <c r="F430" t="s">
        <v>244</v>
      </c>
      <c r="G430" t="str">
        <f>VLOOKUP(F430,'Pond name mapping'!B$3:C$91,2,FALSE)</f>
        <v>L.Indian</v>
      </c>
      <c r="H430" s="8" t="s">
        <v>313</v>
      </c>
      <c r="I430" t="str">
        <f t="shared" si="6"/>
        <v>L.Indian#2022-07-05</v>
      </c>
      <c r="J430" t="s">
        <v>1023</v>
      </c>
    </row>
    <row r="431" spans="1:10">
      <c r="A431" t="s">
        <v>1024</v>
      </c>
      <c r="B431" s="6">
        <v>44758</v>
      </c>
      <c r="C431">
        <v>2022</v>
      </c>
      <c r="D431">
        <v>7</v>
      </c>
      <c r="E431">
        <v>16</v>
      </c>
      <c r="F431" t="s">
        <v>244</v>
      </c>
      <c r="G431" t="str">
        <f>VLOOKUP(F431,'Pond name mapping'!B$3:C$91,2,FALSE)</f>
        <v>L.Indian</v>
      </c>
      <c r="H431" s="8" t="s">
        <v>315</v>
      </c>
      <c r="I431" t="str">
        <f t="shared" si="6"/>
        <v>L.Indian#2022-07-16</v>
      </c>
      <c r="J431" t="s">
        <v>1024</v>
      </c>
    </row>
    <row r="432" spans="1:10">
      <c r="A432" t="s">
        <v>1025</v>
      </c>
      <c r="B432" s="6">
        <v>44774</v>
      </c>
      <c r="C432">
        <v>2022</v>
      </c>
      <c r="D432">
        <v>8</v>
      </c>
      <c r="E432">
        <v>1</v>
      </c>
      <c r="F432" t="s">
        <v>244</v>
      </c>
      <c r="G432" t="str">
        <f>VLOOKUP(F432,'Pond name mapping'!B$3:C$91,2,FALSE)</f>
        <v>L.Indian</v>
      </c>
      <c r="H432" s="8" t="s">
        <v>317</v>
      </c>
      <c r="I432" t="str">
        <f t="shared" si="6"/>
        <v>L.Indian#2022-08-01</v>
      </c>
      <c r="J432" t="s">
        <v>1026</v>
      </c>
    </row>
    <row r="433" spans="1:10">
      <c r="A433" t="s">
        <v>1027</v>
      </c>
      <c r="B433" s="6">
        <v>44849</v>
      </c>
      <c r="C433">
        <v>2022</v>
      </c>
      <c r="D433">
        <v>10</v>
      </c>
      <c r="E433">
        <v>15</v>
      </c>
      <c r="F433" t="s">
        <v>244</v>
      </c>
      <c r="G433" t="str">
        <f>VLOOKUP(F433,'Pond name mapping'!B$3:C$91,2,FALSE)</f>
        <v>L.Indian</v>
      </c>
      <c r="H433" s="8" t="s">
        <v>379</v>
      </c>
      <c r="I433" t="str">
        <f t="shared" si="6"/>
        <v>L.Indian#2022-10-15</v>
      </c>
      <c r="J433" t="s">
        <v>1028</v>
      </c>
    </row>
    <row r="434" spans="1:10">
      <c r="A434" t="s">
        <v>1029</v>
      </c>
      <c r="B434" s="6">
        <v>44464</v>
      </c>
      <c r="C434">
        <v>2021</v>
      </c>
      <c r="D434">
        <v>9</v>
      </c>
      <c r="E434">
        <v>25</v>
      </c>
      <c r="F434" t="s">
        <v>244</v>
      </c>
      <c r="G434" t="str">
        <f>VLOOKUP(F434,'Pond name mapping'!B$3:C$91,2,FALSE)</f>
        <v>L.Indian</v>
      </c>
      <c r="H434" s="8" t="s">
        <v>329</v>
      </c>
      <c r="I434" t="str">
        <f t="shared" si="6"/>
        <v>L.Indian#2021-09-25</v>
      </c>
      <c r="J434" t="s">
        <v>1029</v>
      </c>
    </row>
    <row r="435" spans="1:10">
      <c r="A435" t="s">
        <v>1030</v>
      </c>
      <c r="B435" s="6">
        <v>44464</v>
      </c>
      <c r="C435">
        <v>2021</v>
      </c>
      <c r="D435">
        <v>9</v>
      </c>
      <c r="E435">
        <v>25</v>
      </c>
      <c r="F435" t="s">
        <v>244</v>
      </c>
      <c r="G435" t="str">
        <f>VLOOKUP(F435,'Pond name mapping'!B$3:C$91,2,FALSE)</f>
        <v>L.Indian</v>
      </c>
      <c r="H435" s="8" t="s">
        <v>329</v>
      </c>
      <c r="I435" t="str">
        <f t="shared" si="6"/>
        <v>L.Indian#2021-09-25</v>
      </c>
      <c r="J435" t="s">
        <v>1030</v>
      </c>
    </row>
    <row r="436" spans="1:10">
      <c r="A436" t="s">
        <v>1031</v>
      </c>
      <c r="B436" s="6">
        <v>44485</v>
      </c>
      <c r="C436">
        <v>2021</v>
      </c>
      <c r="D436">
        <v>10</v>
      </c>
      <c r="E436">
        <v>16</v>
      </c>
      <c r="F436" t="s">
        <v>244</v>
      </c>
      <c r="G436" t="str">
        <f>VLOOKUP(F436,'Pond name mapping'!B$3:C$91,2,FALSE)</f>
        <v>L.Indian</v>
      </c>
      <c r="H436" s="8" t="s">
        <v>331</v>
      </c>
      <c r="I436" t="str">
        <f t="shared" si="6"/>
        <v>L.Indian#2021-10-16</v>
      </c>
      <c r="J436" t="s">
        <v>1031</v>
      </c>
    </row>
    <row r="437" spans="1:10">
      <c r="A437" t="s">
        <v>1032</v>
      </c>
      <c r="B437" s="6">
        <v>44485</v>
      </c>
      <c r="C437">
        <v>2021</v>
      </c>
      <c r="D437">
        <v>10</v>
      </c>
      <c r="E437">
        <v>16</v>
      </c>
      <c r="F437" t="s">
        <v>244</v>
      </c>
      <c r="G437" t="str">
        <f>VLOOKUP(F437,'Pond name mapping'!B$3:C$91,2,FALSE)</f>
        <v>L.Indian</v>
      </c>
      <c r="H437" s="8" t="s">
        <v>331</v>
      </c>
      <c r="I437" t="str">
        <f t="shared" si="6"/>
        <v>L.Indian#2021-10-16</v>
      </c>
      <c r="J437" t="s">
        <v>1032</v>
      </c>
    </row>
    <row r="438" spans="1:10">
      <c r="A438" t="s">
        <v>1033</v>
      </c>
      <c r="B438" s="6">
        <v>45061</v>
      </c>
      <c r="C438">
        <v>2023</v>
      </c>
      <c r="D438">
        <v>5</v>
      </c>
      <c r="E438">
        <v>15</v>
      </c>
      <c r="F438" t="s">
        <v>245</v>
      </c>
      <c r="G438" t="str">
        <f>VLOOKUP(F438,'Pond name mapping'!B$3:C$91,2,FALSE)</f>
        <v>Manchaug</v>
      </c>
      <c r="H438" s="8" t="s">
        <v>187</v>
      </c>
      <c r="I438" t="str">
        <f t="shared" si="6"/>
        <v>Manchaug#2023-05-15</v>
      </c>
      <c r="J438" t="s">
        <v>1034</v>
      </c>
    </row>
    <row r="439" spans="1:10">
      <c r="A439" t="s">
        <v>1035</v>
      </c>
      <c r="B439" s="6">
        <v>45101</v>
      </c>
      <c r="C439">
        <v>2023</v>
      </c>
      <c r="D439">
        <v>6</v>
      </c>
      <c r="E439">
        <v>24</v>
      </c>
      <c r="F439" t="s">
        <v>245</v>
      </c>
      <c r="G439" t="str">
        <f>VLOOKUP(F439,'Pond name mapping'!B$3:C$91,2,FALSE)</f>
        <v>Manchaug</v>
      </c>
      <c r="H439" s="8" t="s">
        <v>283</v>
      </c>
      <c r="I439" t="str">
        <f t="shared" si="6"/>
        <v>Manchaug#2023-06-24</v>
      </c>
      <c r="J439" t="s">
        <v>1036</v>
      </c>
    </row>
    <row r="440" spans="1:10">
      <c r="A440" t="s">
        <v>1037</v>
      </c>
      <c r="B440" s="6">
        <v>45117</v>
      </c>
      <c r="C440">
        <v>2023</v>
      </c>
      <c r="D440">
        <v>7</v>
      </c>
      <c r="E440">
        <v>10</v>
      </c>
      <c r="F440" t="s">
        <v>245</v>
      </c>
      <c r="G440" t="str">
        <f>VLOOKUP(F440,'Pond name mapping'!B$3:C$91,2,FALSE)</f>
        <v>Manchaug</v>
      </c>
      <c r="H440" s="8" t="s">
        <v>182</v>
      </c>
      <c r="I440" t="str">
        <f t="shared" si="6"/>
        <v>Manchaug#2023-07-10</v>
      </c>
      <c r="J440" t="s">
        <v>1038</v>
      </c>
    </row>
    <row r="441" spans="1:10">
      <c r="A441" t="s">
        <v>1039</v>
      </c>
      <c r="B441" s="6">
        <v>45129</v>
      </c>
      <c r="C441">
        <v>2023</v>
      </c>
      <c r="D441">
        <v>7</v>
      </c>
      <c r="E441">
        <v>22</v>
      </c>
      <c r="F441" t="s">
        <v>245</v>
      </c>
      <c r="G441" t="str">
        <f>VLOOKUP(F441,'Pond name mapping'!B$3:C$91,2,FALSE)</f>
        <v>Manchaug</v>
      </c>
      <c r="H441" s="8" t="s">
        <v>183</v>
      </c>
      <c r="I441" t="str">
        <f t="shared" si="6"/>
        <v>Manchaug#2023-07-22</v>
      </c>
      <c r="J441" t="s">
        <v>1040</v>
      </c>
    </row>
    <row r="442" spans="1:10">
      <c r="A442" t="s">
        <v>1041</v>
      </c>
      <c r="B442" s="6">
        <v>45145</v>
      </c>
      <c r="C442">
        <v>2023</v>
      </c>
      <c r="D442">
        <v>8</v>
      </c>
      <c r="E442">
        <v>7</v>
      </c>
      <c r="F442" t="s">
        <v>245</v>
      </c>
      <c r="G442" t="str">
        <f>VLOOKUP(F442,'Pond name mapping'!B$3:C$91,2,FALSE)</f>
        <v>Manchaug</v>
      </c>
      <c r="H442" s="8" t="s">
        <v>180</v>
      </c>
      <c r="I442" t="str">
        <f t="shared" si="6"/>
        <v>Manchaug#2023-08-07</v>
      </c>
      <c r="J442" t="s">
        <v>1042</v>
      </c>
    </row>
    <row r="443" spans="1:10">
      <c r="A443" t="s">
        <v>1043</v>
      </c>
      <c r="B443" s="6">
        <v>45157</v>
      </c>
      <c r="C443">
        <v>2023</v>
      </c>
      <c r="D443">
        <v>8</v>
      </c>
      <c r="E443">
        <v>19</v>
      </c>
      <c r="F443" t="s">
        <v>245</v>
      </c>
      <c r="G443" t="str">
        <f>VLOOKUP(F443,'Pond name mapping'!B$3:C$91,2,FALSE)</f>
        <v>Manchaug</v>
      </c>
      <c r="H443" s="8" t="s">
        <v>184</v>
      </c>
      <c r="I443" t="str">
        <f t="shared" si="6"/>
        <v>Manchaug#2023-08-19</v>
      </c>
      <c r="J443" t="s">
        <v>1044</v>
      </c>
    </row>
    <row r="444" spans="1:10">
      <c r="A444" t="s">
        <v>1045</v>
      </c>
      <c r="B444" s="6">
        <v>45174</v>
      </c>
      <c r="C444">
        <v>2023</v>
      </c>
      <c r="D444">
        <v>9</v>
      </c>
      <c r="E444">
        <v>5</v>
      </c>
      <c r="F444" t="s">
        <v>245</v>
      </c>
      <c r="G444" t="str">
        <f>VLOOKUP(F444,'Pond name mapping'!B$3:C$91,2,FALSE)</f>
        <v>Manchaug</v>
      </c>
      <c r="H444" s="8" t="s">
        <v>185</v>
      </c>
      <c r="I444" t="str">
        <f t="shared" si="6"/>
        <v>Manchaug#2023-09-05</v>
      </c>
      <c r="J444" t="s">
        <v>1046</v>
      </c>
    </row>
    <row r="445" spans="1:10">
      <c r="A445" t="s">
        <v>1047</v>
      </c>
      <c r="B445" s="6">
        <v>45185</v>
      </c>
      <c r="C445">
        <v>2023</v>
      </c>
      <c r="D445">
        <v>9</v>
      </c>
      <c r="E445">
        <v>16</v>
      </c>
      <c r="F445" t="s">
        <v>245</v>
      </c>
      <c r="G445" t="str">
        <f>VLOOKUP(F445,'Pond name mapping'!B$3:C$91,2,FALSE)</f>
        <v>Manchaug</v>
      </c>
      <c r="H445" s="8" t="s">
        <v>181</v>
      </c>
      <c r="I445" t="str">
        <f t="shared" si="6"/>
        <v>Manchaug#2023-09-16</v>
      </c>
      <c r="J445" t="s">
        <v>1048</v>
      </c>
    </row>
    <row r="446" spans="1:10">
      <c r="A446" t="s">
        <v>1049</v>
      </c>
      <c r="B446" s="6">
        <v>45201</v>
      </c>
      <c r="C446">
        <v>2023</v>
      </c>
      <c r="D446">
        <v>10</v>
      </c>
      <c r="E446">
        <v>2</v>
      </c>
      <c r="F446" t="s">
        <v>245</v>
      </c>
      <c r="G446" t="str">
        <f>VLOOKUP(F446,'Pond name mapping'!B$3:C$91,2,FALSE)</f>
        <v>Manchaug</v>
      </c>
      <c r="H446" s="8" t="s">
        <v>190</v>
      </c>
      <c r="I446" t="str">
        <f t="shared" si="6"/>
        <v>Manchaug#2023-10-02</v>
      </c>
      <c r="J446" t="s">
        <v>1050</v>
      </c>
    </row>
    <row r="447" spans="1:10">
      <c r="A447" t="s">
        <v>1051</v>
      </c>
      <c r="B447" s="6">
        <v>45213</v>
      </c>
      <c r="C447">
        <v>2023</v>
      </c>
      <c r="D447">
        <v>10</v>
      </c>
      <c r="E447">
        <v>14</v>
      </c>
      <c r="F447" t="s">
        <v>245</v>
      </c>
      <c r="G447" t="str">
        <f>VLOOKUP(F447,'Pond name mapping'!B$3:C$91,2,FALSE)</f>
        <v>Manchaug</v>
      </c>
      <c r="H447" s="8" t="s">
        <v>186</v>
      </c>
      <c r="I447" t="str">
        <f t="shared" si="6"/>
        <v>Manchaug#2023-10-14</v>
      </c>
      <c r="J447" t="s">
        <v>1052</v>
      </c>
    </row>
    <row r="448" spans="1:10">
      <c r="A448" t="s">
        <v>1053</v>
      </c>
      <c r="B448" s="6">
        <v>45045</v>
      </c>
      <c r="C448">
        <v>2023</v>
      </c>
      <c r="D448">
        <v>4</v>
      </c>
      <c r="E448">
        <v>29</v>
      </c>
      <c r="F448" t="s">
        <v>67</v>
      </c>
      <c r="G448" t="str">
        <f>VLOOKUP(F448,'Pond name mapping'!B$3:C$91,2,FALSE)</f>
        <v>Manchaug</v>
      </c>
      <c r="H448" s="8" t="s">
        <v>300</v>
      </c>
      <c r="I448" t="str">
        <f t="shared" si="6"/>
        <v>Manchaug#2023-04-29</v>
      </c>
      <c r="J448" t="s">
        <v>1054</v>
      </c>
    </row>
    <row r="449" spans="1:10">
      <c r="A449" t="s">
        <v>1055</v>
      </c>
      <c r="B449" s="6">
        <v>45073</v>
      </c>
      <c r="C449">
        <v>2023</v>
      </c>
      <c r="D449">
        <v>5</v>
      </c>
      <c r="E449">
        <v>27</v>
      </c>
      <c r="F449" t="s">
        <v>67</v>
      </c>
      <c r="G449" t="str">
        <f>VLOOKUP(F449,'Pond name mapping'!B$3:C$91,2,FALSE)</f>
        <v>Manchaug</v>
      </c>
      <c r="H449" s="8" t="s">
        <v>188</v>
      </c>
      <c r="I449" t="str">
        <f t="shared" si="6"/>
        <v>Manchaug#2023-05-27</v>
      </c>
      <c r="J449" t="s">
        <v>1056</v>
      </c>
    </row>
    <row r="450" spans="1:10">
      <c r="A450" t="s">
        <v>1057</v>
      </c>
      <c r="B450" s="6">
        <v>45446</v>
      </c>
      <c r="C450">
        <v>2024</v>
      </c>
      <c r="D450">
        <v>6</v>
      </c>
      <c r="E450">
        <v>3</v>
      </c>
      <c r="F450" t="s">
        <v>67</v>
      </c>
      <c r="G450" t="str">
        <f>VLOOKUP(F450,'Pond name mapping'!B$3:C$91,2,FALSE)</f>
        <v>Manchaug</v>
      </c>
      <c r="H450" s="8" t="s">
        <v>334</v>
      </c>
      <c r="I450" t="str">
        <f t="shared" si="6"/>
        <v>Manchaug#2024-06-03</v>
      </c>
      <c r="J450" t="s">
        <v>1058</v>
      </c>
    </row>
    <row r="451" spans="1:10">
      <c r="A451" t="s">
        <v>1059</v>
      </c>
      <c r="B451" s="6">
        <v>45089</v>
      </c>
      <c r="C451">
        <v>2023</v>
      </c>
      <c r="D451">
        <v>6</v>
      </c>
      <c r="E451">
        <v>12</v>
      </c>
      <c r="F451" t="s">
        <v>67</v>
      </c>
      <c r="G451" t="str">
        <f>VLOOKUP(F451,'Pond name mapping'!B$3:C$91,2,FALSE)</f>
        <v>Manchaug</v>
      </c>
      <c r="H451" s="8" t="s">
        <v>189</v>
      </c>
      <c r="I451" t="str">
        <f t="shared" si="6"/>
        <v>Manchaug#2023-06-12</v>
      </c>
      <c r="J451" t="s">
        <v>1060</v>
      </c>
    </row>
    <row r="452" spans="1:10">
      <c r="A452" t="s">
        <v>1061</v>
      </c>
      <c r="B452" s="6">
        <v>44366</v>
      </c>
      <c r="C452">
        <v>2021</v>
      </c>
      <c r="D452">
        <v>6</v>
      </c>
      <c r="E452">
        <v>19</v>
      </c>
      <c r="F452" t="s">
        <v>67</v>
      </c>
      <c r="G452" t="str">
        <f>VLOOKUP(F452,'Pond name mapping'!B$3:C$91,2,FALSE)</f>
        <v>Manchaug</v>
      </c>
      <c r="H452" s="8" t="s">
        <v>303</v>
      </c>
      <c r="I452" t="str">
        <f t="shared" si="6"/>
        <v>Manchaug#2021-06-19</v>
      </c>
      <c r="J452" t="s">
        <v>1061</v>
      </c>
    </row>
    <row r="453" spans="1:10">
      <c r="A453" t="s">
        <v>1062</v>
      </c>
      <c r="B453" s="6">
        <v>44683</v>
      </c>
      <c r="C453">
        <v>2022</v>
      </c>
      <c r="D453">
        <v>5</v>
      </c>
      <c r="E453">
        <v>2</v>
      </c>
      <c r="F453" t="s">
        <v>67</v>
      </c>
      <c r="G453" t="str">
        <f>VLOOKUP(F453,'Pond name mapping'!B$3:C$91,2,FALSE)</f>
        <v>Manchaug</v>
      </c>
      <c r="H453" s="8" t="s">
        <v>305</v>
      </c>
      <c r="I453" t="str">
        <f t="shared" ref="I453:I516" si="7">CONCATENATE(G453,"#",H453)</f>
        <v>Manchaug#2022-05-02</v>
      </c>
      <c r="J453" t="s">
        <v>1062</v>
      </c>
    </row>
    <row r="454" spans="1:10">
      <c r="A454" t="s">
        <v>1063</v>
      </c>
      <c r="B454" s="6">
        <v>44702</v>
      </c>
      <c r="C454">
        <v>2022</v>
      </c>
      <c r="D454">
        <v>5</v>
      </c>
      <c r="E454">
        <v>21</v>
      </c>
      <c r="F454" t="s">
        <v>67</v>
      </c>
      <c r="G454" t="str">
        <f>VLOOKUP(F454,'Pond name mapping'!B$3:C$91,2,FALSE)</f>
        <v>Manchaug</v>
      </c>
      <c r="H454" s="8" t="s">
        <v>307</v>
      </c>
      <c r="I454" t="str">
        <f t="shared" si="7"/>
        <v>Manchaug#2022-05-21</v>
      </c>
      <c r="J454" t="s">
        <v>1063</v>
      </c>
    </row>
    <row r="455" spans="1:10">
      <c r="A455" t="s">
        <v>1064</v>
      </c>
      <c r="B455" s="6">
        <v>44718</v>
      </c>
      <c r="C455">
        <v>2022</v>
      </c>
      <c r="D455">
        <v>6</v>
      </c>
      <c r="E455">
        <v>6</v>
      </c>
      <c r="F455" t="s">
        <v>67</v>
      </c>
      <c r="G455" t="str">
        <f>VLOOKUP(F455,'Pond name mapping'!B$3:C$91,2,FALSE)</f>
        <v>Manchaug</v>
      </c>
      <c r="H455" s="8" t="s">
        <v>309</v>
      </c>
      <c r="I455" t="str">
        <f t="shared" si="7"/>
        <v>Manchaug#2022-06-06</v>
      </c>
      <c r="J455" t="s">
        <v>1064</v>
      </c>
    </row>
    <row r="456" spans="1:10">
      <c r="A456" t="s">
        <v>1065</v>
      </c>
      <c r="B456" s="6">
        <v>44730</v>
      </c>
      <c r="C456">
        <v>2022</v>
      </c>
      <c r="D456">
        <v>6</v>
      </c>
      <c r="E456">
        <v>18</v>
      </c>
      <c r="F456" t="s">
        <v>67</v>
      </c>
      <c r="G456" t="str">
        <f>VLOOKUP(F456,'Pond name mapping'!B$3:C$91,2,FALSE)</f>
        <v>Manchaug</v>
      </c>
      <c r="H456" s="8" t="s">
        <v>311</v>
      </c>
      <c r="I456" t="str">
        <f t="shared" si="7"/>
        <v>Manchaug#2022-06-18</v>
      </c>
      <c r="J456" t="s">
        <v>1065</v>
      </c>
    </row>
    <row r="457" spans="1:10">
      <c r="A457" t="s">
        <v>1066</v>
      </c>
      <c r="B457" s="6">
        <v>44747</v>
      </c>
      <c r="C457">
        <v>2022</v>
      </c>
      <c r="D457">
        <v>7</v>
      </c>
      <c r="E457">
        <v>5</v>
      </c>
      <c r="F457" t="s">
        <v>67</v>
      </c>
      <c r="G457" t="str">
        <f>VLOOKUP(F457,'Pond name mapping'!B$3:C$91,2,FALSE)</f>
        <v>Manchaug</v>
      </c>
      <c r="H457" s="8" t="s">
        <v>313</v>
      </c>
      <c r="I457" t="str">
        <f t="shared" si="7"/>
        <v>Manchaug#2022-07-05</v>
      </c>
      <c r="J457" t="s">
        <v>1066</v>
      </c>
    </row>
    <row r="458" spans="1:10">
      <c r="A458" t="s">
        <v>1067</v>
      </c>
      <c r="B458" s="6">
        <v>44758</v>
      </c>
      <c r="C458">
        <v>2022</v>
      </c>
      <c r="D458">
        <v>7</v>
      </c>
      <c r="E458">
        <v>16</v>
      </c>
      <c r="F458" t="s">
        <v>67</v>
      </c>
      <c r="G458" t="str">
        <f>VLOOKUP(F458,'Pond name mapping'!B$3:C$91,2,FALSE)</f>
        <v>Manchaug</v>
      </c>
      <c r="H458" s="8" t="s">
        <v>315</v>
      </c>
      <c r="I458" t="str">
        <f t="shared" si="7"/>
        <v>Manchaug#2022-07-16</v>
      </c>
      <c r="J458" t="s">
        <v>1067</v>
      </c>
    </row>
    <row r="459" spans="1:10">
      <c r="A459" t="s">
        <v>1068</v>
      </c>
      <c r="B459" s="6">
        <v>44774</v>
      </c>
      <c r="C459">
        <v>2022</v>
      </c>
      <c r="D459">
        <v>8</v>
      </c>
      <c r="E459">
        <v>1</v>
      </c>
      <c r="F459" t="s">
        <v>67</v>
      </c>
      <c r="G459" t="str">
        <f>VLOOKUP(F459,'Pond name mapping'!B$3:C$91,2,FALSE)</f>
        <v>Manchaug</v>
      </c>
      <c r="H459" s="8" t="s">
        <v>317</v>
      </c>
      <c r="I459" t="str">
        <f t="shared" si="7"/>
        <v>Manchaug#2022-08-01</v>
      </c>
      <c r="J459" t="s">
        <v>1069</v>
      </c>
    </row>
    <row r="460" spans="1:10">
      <c r="A460" t="s">
        <v>1070</v>
      </c>
      <c r="B460" s="6">
        <v>44800</v>
      </c>
      <c r="C460">
        <v>2022</v>
      </c>
      <c r="D460">
        <v>8</v>
      </c>
      <c r="E460">
        <v>27</v>
      </c>
      <c r="F460" t="s">
        <v>67</v>
      </c>
      <c r="G460" t="str">
        <f>VLOOKUP(F460,'Pond name mapping'!B$3:C$91,2,FALSE)</f>
        <v>Manchaug</v>
      </c>
      <c r="H460" s="8" t="s">
        <v>376</v>
      </c>
      <c r="I460" t="str">
        <f t="shared" si="7"/>
        <v>Manchaug#2022-08-27</v>
      </c>
      <c r="J460" t="s">
        <v>1070</v>
      </c>
    </row>
    <row r="461" spans="1:10">
      <c r="A461" t="s">
        <v>1071</v>
      </c>
      <c r="B461" s="6">
        <v>44816</v>
      </c>
      <c r="C461">
        <v>2022</v>
      </c>
      <c r="D461">
        <v>9</v>
      </c>
      <c r="E461">
        <v>12</v>
      </c>
      <c r="F461" t="s">
        <v>67</v>
      </c>
      <c r="G461" t="str">
        <f>VLOOKUP(F461,'Pond name mapping'!B$3:C$91,2,FALSE)</f>
        <v>Manchaug</v>
      </c>
      <c r="H461" s="8" t="s">
        <v>320</v>
      </c>
      <c r="I461" t="str">
        <f t="shared" si="7"/>
        <v>Manchaug#2022-09-12</v>
      </c>
      <c r="J461" t="s">
        <v>1071</v>
      </c>
    </row>
    <row r="462" spans="1:10">
      <c r="A462" t="s">
        <v>1072</v>
      </c>
      <c r="B462" s="6">
        <v>44828</v>
      </c>
      <c r="C462">
        <v>2022</v>
      </c>
      <c r="D462">
        <v>9</v>
      </c>
      <c r="E462">
        <v>24</v>
      </c>
      <c r="F462" t="s">
        <v>67</v>
      </c>
      <c r="G462" t="str">
        <f>VLOOKUP(F462,'Pond name mapping'!B$3:C$91,2,FALSE)</f>
        <v>Manchaug</v>
      </c>
      <c r="H462" s="8" t="s">
        <v>324</v>
      </c>
      <c r="I462" t="str">
        <f t="shared" si="7"/>
        <v>Manchaug#2022-09-24</v>
      </c>
      <c r="J462" t="s">
        <v>1072</v>
      </c>
    </row>
    <row r="463" spans="1:10">
      <c r="A463" t="s">
        <v>1073</v>
      </c>
      <c r="B463" s="6">
        <v>44837</v>
      </c>
      <c r="C463">
        <v>2022</v>
      </c>
      <c r="D463">
        <v>10</v>
      </c>
      <c r="E463">
        <v>3</v>
      </c>
      <c r="F463" t="s">
        <v>67</v>
      </c>
      <c r="G463" t="str">
        <f>VLOOKUP(F463,'Pond name mapping'!B$3:C$91,2,FALSE)</f>
        <v>Manchaug</v>
      </c>
      <c r="H463" s="8" t="s">
        <v>326</v>
      </c>
      <c r="I463" t="str">
        <f t="shared" si="7"/>
        <v>Manchaug#2022-10-03</v>
      </c>
      <c r="J463" t="s">
        <v>1073</v>
      </c>
    </row>
    <row r="464" spans="1:10">
      <c r="A464" t="s">
        <v>1074</v>
      </c>
      <c r="B464" s="6">
        <v>44849</v>
      </c>
      <c r="C464">
        <v>2022</v>
      </c>
      <c r="D464">
        <v>10</v>
      </c>
      <c r="E464">
        <v>15</v>
      </c>
      <c r="F464" t="s">
        <v>67</v>
      </c>
      <c r="G464" t="str">
        <f>VLOOKUP(F464,'Pond name mapping'!B$3:C$91,2,FALSE)</f>
        <v>Manchaug</v>
      </c>
      <c r="H464" s="8" t="s">
        <v>379</v>
      </c>
      <c r="I464" t="str">
        <f t="shared" si="7"/>
        <v>Manchaug#2022-10-15</v>
      </c>
      <c r="J464" t="s">
        <v>1074</v>
      </c>
    </row>
    <row r="465" spans="1:10">
      <c r="A465" t="s">
        <v>1075</v>
      </c>
      <c r="B465" s="6">
        <v>44464</v>
      </c>
      <c r="C465">
        <v>2021</v>
      </c>
      <c r="D465">
        <v>9</v>
      </c>
      <c r="E465">
        <v>25</v>
      </c>
      <c r="F465" t="s">
        <v>67</v>
      </c>
      <c r="G465" t="str">
        <f>VLOOKUP(F465,'Pond name mapping'!B$3:C$91,2,FALSE)</f>
        <v>Manchaug</v>
      </c>
      <c r="H465" s="8" t="s">
        <v>329</v>
      </c>
      <c r="I465" t="str">
        <f t="shared" si="7"/>
        <v>Manchaug#2021-09-25</v>
      </c>
      <c r="J465" t="s">
        <v>1075</v>
      </c>
    </row>
    <row r="466" spans="1:10">
      <c r="A466" t="s">
        <v>1076</v>
      </c>
      <c r="B466" s="6">
        <v>44464</v>
      </c>
      <c r="C466">
        <v>2021</v>
      </c>
      <c r="D466">
        <v>9</v>
      </c>
      <c r="E466">
        <v>25</v>
      </c>
      <c r="F466" t="s">
        <v>67</v>
      </c>
      <c r="G466" t="str">
        <f>VLOOKUP(F466,'Pond name mapping'!B$3:C$91,2,FALSE)</f>
        <v>Manchaug</v>
      </c>
      <c r="H466" s="8" t="s">
        <v>329</v>
      </c>
      <c r="I466" t="str">
        <f t="shared" si="7"/>
        <v>Manchaug#2021-09-25</v>
      </c>
      <c r="J466" t="s">
        <v>1076</v>
      </c>
    </row>
    <row r="467" spans="1:10">
      <c r="A467" t="s">
        <v>1077</v>
      </c>
      <c r="B467" s="6">
        <v>44485</v>
      </c>
      <c r="C467">
        <v>2021</v>
      </c>
      <c r="D467">
        <v>10</v>
      </c>
      <c r="E467">
        <v>16</v>
      </c>
      <c r="F467" t="s">
        <v>67</v>
      </c>
      <c r="G467" t="str">
        <f>VLOOKUP(F467,'Pond name mapping'!B$3:C$91,2,FALSE)</f>
        <v>Manchaug</v>
      </c>
      <c r="H467" s="8" t="s">
        <v>331</v>
      </c>
      <c r="I467" t="str">
        <f t="shared" si="7"/>
        <v>Manchaug#2021-10-16</v>
      </c>
      <c r="J467" t="s">
        <v>1077</v>
      </c>
    </row>
    <row r="468" spans="1:10">
      <c r="A468" t="s">
        <v>1078</v>
      </c>
      <c r="B468" s="6">
        <v>44485</v>
      </c>
      <c r="C468">
        <v>2021</v>
      </c>
      <c r="D468">
        <v>10</v>
      </c>
      <c r="E468">
        <v>16</v>
      </c>
      <c r="F468" t="s">
        <v>67</v>
      </c>
      <c r="G468" t="str">
        <f>VLOOKUP(F468,'Pond name mapping'!B$3:C$91,2,FALSE)</f>
        <v>Manchaug</v>
      </c>
      <c r="H468" s="8" t="s">
        <v>331</v>
      </c>
      <c r="I468" t="str">
        <f t="shared" si="7"/>
        <v>Manchaug#2021-10-16</v>
      </c>
      <c r="J468" t="s">
        <v>1078</v>
      </c>
    </row>
    <row r="469" spans="1:10">
      <c r="A469" t="s">
        <v>1079</v>
      </c>
      <c r="B469" s="6">
        <v>45061</v>
      </c>
      <c r="C469">
        <v>2023</v>
      </c>
      <c r="D469">
        <v>5</v>
      </c>
      <c r="E469">
        <v>15</v>
      </c>
      <c r="F469" t="s">
        <v>246</v>
      </c>
      <c r="G469" t="str">
        <f>VLOOKUP(F469,'Pond name mapping'!B$3:C$91,2,FALSE)</f>
        <v>Newton</v>
      </c>
      <c r="H469" s="8" t="s">
        <v>187</v>
      </c>
      <c r="I469" t="str">
        <f t="shared" si="7"/>
        <v>Newton#2023-05-15</v>
      </c>
      <c r="J469" t="s">
        <v>1080</v>
      </c>
    </row>
    <row r="470" spans="1:10">
      <c r="A470" t="s">
        <v>1081</v>
      </c>
      <c r="B470" s="6">
        <v>45089</v>
      </c>
      <c r="C470">
        <v>2023</v>
      </c>
      <c r="D470">
        <v>6</v>
      </c>
      <c r="E470">
        <v>12</v>
      </c>
      <c r="F470" t="s">
        <v>246</v>
      </c>
      <c r="G470" t="str">
        <f>VLOOKUP(F470,'Pond name mapping'!B$3:C$91,2,FALSE)</f>
        <v>Newton</v>
      </c>
      <c r="H470" s="8" t="s">
        <v>189</v>
      </c>
      <c r="I470" t="str">
        <f t="shared" si="7"/>
        <v>Newton#2023-06-12</v>
      </c>
      <c r="J470" t="s">
        <v>1082</v>
      </c>
    </row>
    <row r="471" spans="1:10">
      <c r="A471" t="s">
        <v>1083</v>
      </c>
      <c r="B471" s="6">
        <v>45101</v>
      </c>
      <c r="C471">
        <v>2023</v>
      </c>
      <c r="D471">
        <v>6</v>
      </c>
      <c r="E471">
        <v>24</v>
      </c>
      <c r="F471" t="s">
        <v>246</v>
      </c>
      <c r="G471" t="str">
        <f>VLOOKUP(F471,'Pond name mapping'!B$3:C$91,2,FALSE)</f>
        <v>Newton</v>
      </c>
      <c r="H471" s="8" t="s">
        <v>283</v>
      </c>
      <c r="I471" t="str">
        <f t="shared" si="7"/>
        <v>Newton#2023-06-24</v>
      </c>
      <c r="J471" t="s">
        <v>1084</v>
      </c>
    </row>
    <row r="472" spans="1:10">
      <c r="A472" t="s">
        <v>1085</v>
      </c>
      <c r="B472" s="6">
        <v>45117</v>
      </c>
      <c r="C472">
        <v>2023</v>
      </c>
      <c r="D472">
        <v>7</v>
      </c>
      <c r="E472">
        <v>10</v>
      </c>
      <c r="F472" t="s">
        <v>246</v>
      </c>
      <c r="G472" t="str">
        <f>VLOOKUP(F472,'Pond name mapping'!B$3:C$91,2,FALSE)</f>
        <v>Newton</v>
      </c>
      <c r="H472" s="8" t="s">
        <v>182</v>
      </c>
      <c r="I472" t="str">
        <f t="shared" si="7"/>
        <v>Newton#2023-07-10</v>
      </c>
      <c r="J472" t="s">
        <v>1086</v>
      </c>
    </row>
    <row r="473" spans="1:10">
      <c r="A473" t="s">
        <v>1087</v>
      </c>
      <c r="B473" s="6">
        <v>45129</v>
      </c>
      <c r="C473">
        <v>2023</v>
      </c>
      <c r="D473">
        <v>7</v>
      </c>
      <c r="E473">
        <v>22</v>
      </c>
      <c r="F473" t="s">
        <v>246</v>
      </c>
      <c r="G473" t="str">
        <f>VLOOKUP(F473,'Pond name mapping'!B$3:C$91,2,FALSE)</f>
        <v>Newton</v>
      </c>
      <c r="H473" s="8" t="s">
        <v>183</v>
      </c>
      <c r="I473" t="str">
        <f t="shared" si="7"/>
        <v>Newton#2023-07-22</v>
      </c>
      <c r="J473" t="s">
        <v>1088</v>
      </c>
    </row>
    <row r="474" spans="1:10">
      <c r="A474" t="s">
        <v>1089</v>
      </c>
      <c r="B474" s="6">
        <v>45145</v>
      </c>
      <c r="C474">
        <v>2023</v>
      </c>
      <c r="D474">
        <v>8</v>
      </c>
      <c r="E474">
        <v>7</v>
      </c>
      <c r="F474" t="s">
        <v>246</v>
      </c>
      <c r="G474" t="str">
        <f>VLOOKUP(F474,'Pond name mapping'!B$3:C$91,2,FALSE)</f>
        <v>Newton</v>
      </c>
      <c r="H474" s="8" t="s">
        <v>180</v>
      </c>
      <c r="I474" t="str">
        <f t="shared" si="7"/>
        <v>Newton#2023-08-07</v>
      </c>
      <c r="J474" t="s">
        <v>1090</v>
      </c>
    </row>
    <row r="475" spans="1:10">
      <c r="A475" t="s">
        <v>1091</v>
      </c>
      <c r="B475" s="6">
        <v>45157</v>
      </c>
      <c r="C475">
        <v>2023</v>
      </c>
      <c r="D475">
        <v>8</v>
      </c>
      <c r="E475">
        <v>19</v>
      </c>
      <c r="F475" t="s">
        <v>246</v>
      </c>
      <c r="G475" t="str">
        <f>VLOOKUP(F475,'Pond name mapping'!B$3:C$91,2,FALSE)</f>
        <v>Newton</v>
      </c>
      <c r="H475" s="8" t="s">
        <v>184</v>
      </c>
      <c r="I475" t="str">
        <f t="shared" si="7"/>
        <v>Newton#2023-08-19</v>
      </c>
      <c r="J475" t="s">
        <v>1092</v>
      </c>
    </row>
    <row r="476" spans="1:10">
      <c r="A476" t="s">
        <v>1093</v>
      </c>
      <c r="B476" s="6">
        <v>45174</v>
      </c>
      <c r="C476">
        <v>2023</v>
      </c>
      <c r="D476">
        <v>9</v>
      </c>
      <c r="E476">
        <v>5</v>
      </c>
      <c r="F476" t="s">
        <v>246</v>
      </c>
      <c r="G476" t="str">
        <f>VLOOKUP(F476,'Pond name mapping'!B$3:C$91,2,FALSE)</f>
        <v>Newton</v>
      </c>
      <c r="H476" s="8" t="s">
        <v>185</v>
      </c>
      <c r="I476" t="str">
        <f t="shared" si="7"/>
        <v>Newton#2023-09-05</v>
      </c>
      <c r="J476" t="s">
        <v>1094</v>
      </c>
    </row>
    <row r="477" spans="1:10">
      <c r="A477" t="s">
        <v>1095</v>
      </c>
      <c r="B477" s="6">
        <v>45185</v>
      </c>
      <c r="C477">
        <v>2023</v>
      </c>
      <c r="D477">
        <v>9</v>
      </c>
      <c r="E477">
        <v>16</v>
      </c>
      <c r="F477" t="s">
        <v>246</v>
      </c>
      <c r="G477" t="str">
        <f>VLOOKUP(F477,'Pond name mapping'!B$3:C$91,2,FALSE)</f>
        <v>Newton</v>
      </c>
      <c r="H477" s="8" t="s">
        <v>181</v>
      </c>
      <c r="I477" t="str">
        <f t="shared" si="7"/>
        <v>Newton#2023-09-16</v>
      </c>
      <c r="J477" t="s">
        <v>1096</v>
      </c>
    </row>
    <row r="478" spans="1:10">
      <c r="A478" t="s">
        <v>1097</v>
      </c>
      <c r="B478" s="6">
        <v>45201</v>
      </c>
      <c r="C478">
        <v>2023</v>
      </c>
      <c r="D478">
        <v>10</v>
      </c>
      <c r="E478">
        <v>2</v>
      </c>
      <c r="F478" t="s">
        <v>246</v>
      </c>
      <c r="G478" t="str">
        <f>VLOOKUP(F478,'Pond name mapping'!B$3:C$91,2,FALSE)</f>
        <v>Newton</v>
      </c>
      <c r="H478" s="8" t="s">
        <v>190</v>
      </c>
      <c r="I478" t="str">
        <f t="shared" si="7"/>
        <v>Newton#2023-10-02</v>
      </c>
      <c r="J478" t="s">
        <v>1098</v>
      </c>
    </row>
    <row r="479" spans="1:10">
      <c r="A479" t="s">
        <v>1099</v>
      </c>
      <c r="B479" s="6">
        <v>45213</v>
      </c>
      <c r="C479">
        <v>2023</v>
      </c>
      <c r="D479">
        <v>10</v>
      </c>
      <c r="E479">
        <v>14</v>
      </c>
      <c r="F479" t="s">
        <v>246</v>
      </c>
      <c r="G479" t="str">
        <f>VLOOKUP(F479,'Pond name mapping'!B$3:C$91,2,FALSE)</f>
        <v>Newton</v>
      </c>
      <c r="H479" s="8" t="s">
        <v>186</v>
      </c>
      <c r="I479" t="str">
        <f t="shared" si="7"/>
        <v>Newton#2023-10-14</v>
      </c>
      <c r="J479" t="s">
        <v>1100</v>
      </c>
    </row>
    <row r="480" spans="1:10">
      <c r="A480" t="s">
        <v>1101</v>
      </c>
      <c r="B480" s="6">
        <v>45045</v>
      </c>
      <c r="C480">
        <v>2023</v>
      </c>
      <c r="D480">
        <v>4</v>
      </c>
      <c r="E480">
        <v>29</v>
      </c>
      <c r="F480" t="s">
        <v>69</v>
      </c>
      <c r="G480" t="str">
        <f>VLOOKUP(F480,'Pond name mapping'!B$3:C$91,2,FALSE)</f>
        <v>Newton</v>
      </c>
      <c r="H480" s="8" t="s">
        <v>300</v>
      </c>
      <c r="I480" t="str">
        <f t="shared" si="7"/>
        <v>Newton#2023-04-29</v>
      </c>
      <c r="J480" t="s">
        <v>1102</v>
      </c>
    </row>
    <row r="481" spans="1:10">
      <c r="A481" t="s">
        <v>1103</v>
      </c>
      <c r="B481" s="6">
        <v>45073</v>
      </c>
      <c r="C481">
        <v>2023</v>
      </c>
      <c r="D481">
        <v>5</v>
      </c>
      <c r="E481">
        <v>27</v>
      </c>
      <c r="F481" t="s">
        <v>69</v>
      </c>
      <c r="G481" t="str">
        <f>VLOOKUP(F481,'Pond name mapping'!B$3:C$91,2,FALSE)</f>
        <v>Newton</v>
      </c>
      <c r="H481" s="8" t="s">
        <v>188</v>
      </c>
      <c r="I481" t="str">
        <f t="shared" si="7"/>
        <v>Newton#2023-05-27</v>
      </c>
      <c r="J481" t="s">
        <v>1104</v>
      </c>
    </row>
    <row r="482" spans="1:10">
      <c r="A482" t="s">
        <v>1105</v>
      </c>
      <c r="B482" s="6">
        <v>45446</v>
      </c>
      <c r="C482">
        <v>2024</v>
      </c>
      <c r="D482">
        <v>6</v>
      </c>
      <c r="E482">
        <v>3</v>
      </c>
      <c r="F482" t="s">
        <v>69</v>
      </c>
      <c r="G482" t="str">
        <f>VLOOKUP(F482,'Pond name mapping'!B$3:C$91,2,FALSE)</f>
        <v>Newton</v>
      </c>
      <c r="H482" s="8" t="s">
        <v>334</v>
      </c>
      <c r="I482" t="str">
        <f t="shared" si="7"/>
        <v>Newton#2024-06-03</v>
      </c>
      <c r="J482" t="s">
        <v>1106</v>
      </c>
    </row>
    <row r="483" spans="1:10">
      <c r="A483" t="s">
        <v>1107</v>
      </c>
      <c r="B483" s="6">
        <v>44366</v>
      </c>
      <c r="C483">
        <v>2021</v>
      </c>
      <c r="D483">
        <v>6</v>
      </c>
      <c r="E483">
        <v>19</v>
      </c>
      <c r="F483" t="s">
        <v>69</v>
      </c>
      <c r="G483" t="str">
        <f>VLOOKUP(F483,'Pond name mapping'!B$3:C$91,2,FALSE)</f>
        <v>Newton</v>
      </c>
      <c r="H483" s="8" t="s">
        <v>303</v>
      </c>
      <c r="I483" t="str">
        <f t="shared" si="7"/>
        <v>Newton#2021-06-19</v>
      </c>
      <c r="J483" t="s">
        <v>1107</v>
      </c>
    </row>
    <row r="484" spans="1:10">
      <c r="A484" t="s">
        <v>1108</v>
      </c>
      <c r="B484" s="6">
        <v>44683</v>
      </c>
      <c r="C484">
        <v>2022</v>
      </c>
      <c r="D484">
        <v>5</v>
      </c>
      <c r="E484">
        <v>2</v>
      </c>
      <c r="F484" t="s">
        <v>69</v>
      </c>
      <c r="G484" t="str">
        <f>VLOOKUP(F484,'Pond name mapping'!B$3:C$91,2,FALSE)</f>
        <v>Newton</v>
      </c>
      <c r="H484" s="8" t="s">
        <v>305</v>
      </c>
      <c r="I484" t="str">
        <f t="shared" si="7"/>
        <v>Newton#2022-05-02</v>
      </c>
      <c r="J484" t="s">
        <v>1108</v>
      </c>
    </row>
    <row r="485" spans="1:10">
      <c r="A485" t="s">
        <v>1109</v>
      </c>
      <c r="B485" s="6">
        <v>44702</v>
      </c>
      <c r="C485">
        <v>2022</v>
      </c>
      <c r="D485">
        <v>5</v>
      </c>
      <c r="E485">
        <v>21</v>
      </c>
      <c r="F485" t="s">
        <v>69</v>
      </c>
      <c r="G485" t="str">
        <f>VLOOKUP(F485,'Pond name mapping'!B$3:C$91,2,FALSE)</f>
        <v>Newton</v>
      </c>
      <c r="H485" s="8" t="s">
        <v>307</v>
      </c>
      <c r="I485" t="str">
        <f t="shared" si="7"/>
        <v>Newton#2022-05-21</v>
      </c>
      <c r="J485" t="s">
        <v>1109</v>
      </c>
    </row>
    <row r="486" spans="1:10">
      <c r="A486" t="s">
        <v>1110</v>
      </c>
      <c r="B486" s="6">
        <v>44718</v>
      </c>
      <c r="C486">
        <v>2022</v>
      </c>
      <c r="D486">
        <v>6</v>
      </c>
      <c r="E486">
        <v>6</v>
      </c>
      <c r="F486" t="s">
        <v>69</v>
      </c>
      <c r="G486" t="str">
        <f>VLOOKUP(F486,'Pond name mapping'!B$3:C$91,2,FALSE)</f>
        <v>Newton</v>
      </c>
      <c r="H486" s="8" t="s">
        <v>309</v>
      </c>
      <c r="I486" t="str">
        <f t="shared" si="7"/>
        <v>Newton#2022-06-06</v>
      </c>
      <c r="J486" t="s">
        <v>1110</v>
      </c>
    </row>
    <row r="487" spans="1:10">
      <c r="A487" t="s">
        <v>1111</v>
      </c>
      <c r="B487" s="6">
        <v>44747</v>
      </c>
      <c r="C487">
        <v>2022</v>
      </c>
      <c r="D487">
        <v>7</v>
      </c>
      <c r="E487">
        <v>5</v>
      </c>
      <c r="F487" t="s">
        <v>69</v>
      </c>
      <c r="G487" t="str">
        <f>VLOOKUP(F487,'Pond name mapping'!B$3:C$91,2,FALSE)</f>
        <v>Newton</v>
      </c>
      <c r="H487" s="8" t="s">
        <v>313</v>
      </c>
      <c r="I487" t="str">
        <f t="shared" si="7"/>
        <v>Newton#2022-07-05</v>
      </c>
      <c r="J487" t="s">
        <v>1111</v>
      </c>
    </row>
    <row r="488" spans="1:10">
      <c r="A488" t="s">
        <v>1112</v>
      </c>
      <c r="B488" s="6">
        <v>44758</v>
      </c>
      <c r="C488">
        <v>2022</v>
      </c>
      <c r="D488">
        <v>7</v>
      </c>
      <c r="E488">
        <v>16</v>
      </c>
      <c r="F488" t="s">
        <v>69</v>
      </c>
      <c r="G488" t="str">
        <f>VLOOKUP(F488,'Pond name mapping'!B$3:C$91,2,FALSE)</f>
        <v>Newton</v>
      </c>
      <c r="H488" s="8" t="s">
        <v>315</v>
      </c>
      <c r="I488" t="str">
        <f t="shared" si="7"/>
        <v>Newton#2022-07-16</v>
      </c>
      <c r="J488" t="s">
        <v>1112</v>
      </c>
    </row>
    <row r="489" spans="1:10">
      <c r="A489" t="s">
        <v>1113</v>
      </c>
      <c r="B489" s="6">
        <v>44758</v>
      </c>
      <c r="C489">
        <v>2022</v>
      </c>
      <c r="D489">
        <v>7</v>
      </c>
      <c r="E489">
        <v>16</v>
      </c>
      <c r="F489" t="s">
        <v>69</v>
      </c>
      <c r="G489" t="str">
        <f>VLOOKUP(F489,'Pond name mapping'!B$3:C$91,2,FALSE)</f>
        <v>Newton</v>
      </c>
      <c r="H489" s="8" t="s">
        <v>315</v>
      </c>
      <c r="I489" t="str">
        <f t="shared" si="7"/>
        <v>Newton#2022-07-16</v>
      </c>
      <c r="J489" t="s">
        <v>1113</v>
      </c>
    </row>
    <row r="490" spans="1:10">
      <c r="A490" t="s">
        <v>1114</v>
      </c>
      <c r="B490" s="6">
        <v>44774</v>
      </c>
      <c r="C490">
        <v>2022</v>
      </c>
      <c r="D490">
        <v>8</v>
      </c>
      <c r="E490">
        <v>1</v>
      </c>
      <c r="F490" t="s">
        <v>69</v>
      </c>
      <c r="G490" t="str">
        <f>VLOOKUP(F490,'Pond name mapping'!B$3:C$91,2,FALSE)</f>
        <v>Newton</v>
      </c>
      <c r="H490" s="8" t="s">
        <v>317</v>
      </c>
      <c r="I490" t="str">
        <f t="shared" si="7"/>
        <v>Newton#2022-08-01</v>
      </c>
      <c r="J490" t="s">
        <v>1115</v>
      </c>
    </row>
    <row r="491" spans="1:10">
      <c r="A491" s="4" t="s">
        <v>1116</v>
      </c>
      <c r="B491" s="6">
        <v>44800</v>
      </c>
      <c r="C491">
        <v>2022</v>
      </c>
      <c r="D491">
        <v>8</v>
      </c>
      <c r="E491">
        <v>27</v>
      </c>
      <c r="F491" t="s">
        <v>69</v>
      </c>
      <c r="G491" t="str">
        <f>VLOOKUP(F491,'Pond name mapping'!B$3:C$91,2,FALSE)</f>
        <v>Newton</v>
      </c>
      <c r="H491" s="8" t="s">
        <v>376</v>
      </c>
      <c r="I491" t="str">
        <f t="shared" si="7"/>
        <v>Newton#2022-08-27</v>
      </c>
      <c r="J491" s="4" t="s">
        <v>1116</v>
      </c>
    </row>
    <row r="492" spans="1:10">
      <c r="A492" t="s">
        <v>1117</v>
      </c>
      <c r="B492" s="6">
        <v>44816</v>
      </c>
      <c r="C492">
        <v>2022</v>
      </c>
      <c r="D492">
        <v>9</v>
      </c>
      <c r="E492">
        <v>12</v>
      </c>
      <c r="F492" t="s">
        <v>69</v>
      </c>
      <c r="G492" t="str">
        <f>VLOOKUP(F492,'Pond name mapping'!B$3:C$91,2,FALSE)</f>
        <v>Newton</v>
      </c>
      <c r="H492" s="8" t="s">
        <v>320</v>
      </c>
      <c r="I492" t="str">
        <f t="shared" si="7"/>
        <v>Newton#2022-09-12</v>
      </c>
      <c r="J492" t="s">
        <v>1117</v>
      </c>
    </row>
    <row r="493" spans="1:10">
      <c r="A493" t="s">
        <v>1118</v>
      </c>
      <c r="B493" s="6">
        <v>44828</v>
      </c>
      <c r="C493">
        <v>2022</v>
      </c>
      <c r="D493">
        <v>9</v>
      </c>
      <c r="E493">
        <v>24</v>
      </c>
      <c r="F493" t="s">
        <v>69</v>
      </c>
      <c r="G493" t="str">
        <f>VLOOKUP(F493,'Pond name mapping'!B$3:C$91,2,FALSE)</f>
        <v>Newton</v>
      </c>
      <c r="H493" s="8" t="s">
        <v>324</v>
      </c>
      <c r="I493" t="str">
        <f t="shared" si="7"/>
        <v>Newton#2022-09-24</v>
      </c>
      <c r="J493" t="s">
        <v>1118</v>
      </c>
    </row>
    <row r="494" spans="1:10">
      <c r="A494" t="s">
        <v>1119</v>
      </c>
      <c r="B494" s="6">
        <v>44837</v>
      </c>
      <c r="C494">
        <v>2022</v>
      </c>
      <c r="D494">
        <v>10</v>
      </c>
      <c r="E494">
        <v>3</v>
      </c>
      <c r="F494" t="s">
        <v>69</v>
      </c>
      <c r="G494" t="str">
        <f>VLOOKUP(F494,'Pond name mapping'!B$3:C$91,2,FALSE)</f>
        <v>Newton</v>
      </c>
      <c r="H494" s="8" t="s">
        <v>326</v>
      </c>
      <c r="I494" t="str">
        <f t="shared" si="7"/>
        <v>Newton#2022-10-03</v>
      </c>
      <c r="J494" t="s">
        <v>1119</v>
      </c>
    </row>
    <row r="495" spans="1:10">
      <c r="A495" t="s">
        <v>1120</v>
      </c>
      <c r="B495" s="6">
        <v>44849</v>
      </c>
      <c r="C495">
        <v>2022</v>
      </c>
      <c r="D495">
        <v>10</v>
      </c>
      <c r="E495">
        <v>15</v>
      </c>
      <c r="F495" t="s">
        <v>69</v>
      </c>
      <c r="G495" t="str">
        <f>VLOOKUP(F495,'Pond name mapping'!B$3:C$91,2,FALSE)</f>
        <v>Newton</v>
      </c>
      <c r="H495" s="8" t="s">
        <v>379</v>
      </c>
      <c r="I495" t="str">
        <f t="shared" si="7"/>
        <v>Newton#2022-10-15</v>
      </c>
      <c r="J495" t="s">
        <v>1120</v>
      </c>
    </row>
    <row r="496" spans="1:10">
      <c r="A496" t="s">
        <v>1121</v>
      </c>
      <c r="B496" s="6">
        <v>44464</v>
      </c>
      <c r="C496">
        <v>2021</v>
      </c>
      <c r="D496">
        <v>9</v>
      </c>
      <c r="E496">
        <v>25</v>
      </c>
      <c r="F496" t="s">
        <v>69</v>
      </c>
      <c r="G496" t="str">
        <f>VLOOKUP(F496,'Pond name mapping'!B$3:C$91,2,FALSE)</f>
        <v>Newton</v>
      </c>
      <c r="H496" s="8" t="s">
        <v>329</v>
      </c>
      <c r="I496" t="str">
        <f t="shared" si="7"/>
        <v>Newton#2021-09-25</v>
      </c>
      <c r="J496" t="s">
        <v>1121</v>
      </c>
    </row>
    <row r="497" spans="1:10">
      <c r="A497" t="s">
        <v>1122</v>
      </c>
      <c r="B497" s="6">
        <v>44485</v>
      </c>
      <c r="C497">
        <v>2021</v>
      </c>
      <c r="D497">
        <v>10</v>
      </c>
      <c r="E497">
        <v>16</v>
      </c>
      <c r="F497" t="s">
        <v>69</v>
      </c>
      <c r="G497" t="str">
        <f>VLOOKUP(F497,'Pond name mapping'!B$3:C$91,2,FALSE)</f>
        <v>Newton</v>
      </c>
      <c r="H497" s="8" t="s">
        <v>331</v>
      </c>
      <c r="I497" t="str">
        <f t="shared" si="7"/>
        <v>Newton#2021-10-16</v>
      </c>
      <c r="J497" t="s">
        <v>1122</v>
      </c>
    </row>
    <row r="498" spans="1:10">
      <c r="A498" t="s">
        <v>1123</v>
      </c>
      <c r="B498" s="6">
        <v>44485</v>
      </c>
      <c r="C498">
        <v>2021</v>
      </c>
      <c r="D498">
        <v>10</v>
      </c>
      <c r="E498">
        <v>16</v>
      </c>
      <c r="F498" t="s">
        <v>69</v>
      </c>
      <c r="G498" t="str">
        <f>VLOOKUP(F498,'Pond name mapping'!B$3:C$91,2,FALSE)</f>
        <v>Newton</v>
      </c>
      <c r="H498" s="8" t="s">
        <v>331</v>
      </c>
      <c r="I498" t="str">
        <f t="shared" si="7"/>
        <v>Newton#2021-10-16</v>
      </c>
      <c r="J498" t="s">
        <v>1123</v>
      </c>
    </row>
    <row r="499" spans="1:10">
      <c r="A499" s="5" t="s">
        <v>1124</v>
      </c>
      <c r="B499" s="6">
        <v>44730</v>
      </c>
      <c r="C499">
        <v>2022</v>
      </c>
      <c r="D499">
        <v>6</v>
      </c>
      <c r="E499">
        <v>18</v>
      </c>
      <c r="F499" t="s">
        <v>247</v>
      </c>
      <c r="G499" t="str">
        <f>VLOOKUP(F499,'Pond name mapping'!B$3:C$91,2,FALSE)</f>
        <v>Newton</v>
      </c>
      <c r="H499" s="8" t="s">
        <v>311</v>
      </c>
      <c r="I499" t="str">
        <f t="shared" si="7"/>
        <v>Newton#2022-06-18</v>
      </c>
      <c r="J499" s="5" t="s">
        <v>1124</v>
      </c>
    </row>
    <row r="500" spans="1:10">
      <c r="A500" t="s">
        <v>1125</v>
      </c>
      <c r="B500" s="6">
        <v>44366</v>
      </c>
      <c r="C500">
        <v>2021</v>
      </c>
      <c r="D500">
        <v>6</v>
      </c>
      <c r="E500">
        <v>19</v>
      </c>
      <c r="F500" t="s">
        <v>248</v>
      </c>
      <c r="G500" t="str">
        <f>VLOOKUP(F500,'Pond name mapping'!B$3:C$91,2,FALSE)</f>
        <v>nolabel</v>
      </c>
      <c r="H500" s="8" t="s">
        <v>303</v>
      </c>
      <c r="I500" t="str">
        <f t="shared" si="7"/>
        <v>nolabel#2021-06-19</v>
      </c>
      <c r="J500" t="s">
        <v>1125</v>
      </c>
    </row>
    <row r="501" spans="1:10">
      <c r="A501" t="s">
        <v>1126</v>
      </c>
      <c r="B501" s="6">
        <v>45045</v>
      </c>
      <c r="C501">
        <v>2023</v>
      </c>
      <c r="D501">
        <v>4</v>
      </c>
      <c r="E501">
        <v>29</v>
      </c>
      <c r="F501" t="s">
        <v>250</v>
      </c>
      <c r="G501" t="str">
        <f>VLOOKUP(F501,'Pond name mapping'!B$3:C$91,2,FALSE)</f>
        <v>Patch.P</v>
      </c>
      <c r="H501" s="8" t="s">
        <v>300</v>
      </c>
      <c r="I501" t="str">
        <f t="shared" si="7"/>
        <v>Patch.P#2023-04-29</v>
      </c>
      <c r="J501" t="s">
        <v>1127</v>
      </c>
    </row>
    <row r="502" spans="1:10">
      <c r="A502" t="s">
        <v>1128</v>
      </c>
      <c r="B502" s="6">
        <v>45061</v>
      </c>
      <c r="C502">
        <v>2023</v>
      </c>
      <c r="D502">
        <v>5</v>
      </c>
      <c r="E502">
        <v>15</v>
      </c>
      <c r="F502" t="s">
        <v>250</v>
      </c>
      <c r="G502" t="str">
        <f>VLOOKUP(F502,'Pond name mapping'!B$3:C$91,2,FALSE)</f>
        <v>Patch.P</v>
      </c>
      <c r="H502" s="8" t="s">
        <v>187</v>
      </c>
      <c r="I502" t="str">
        <f t="shared" si="7"/>
        <v>Patch.P#2023-05-15</v>
      </c>
      <c r="J502" t="s">
        <v>1129</v>
      </c>
    </row>
    <row r="503" spans="1:10">
      <c r="A503" t="s">
        <v>1130</v>
      </c>
      <c r="B503" s="6">
        <v>45073</v>
      </c>
      <c r="C503">
        <v>2023</v>
      </c>
      <c r="D503">
        <v>5</v>
      </c>
      <c r="E503">
        <v>27</v>
      </c>
      <c r="F503" t="s">
        <v>250</v>
      </c>
      <c r="G503" t="str">
        <f>VLOOKUP(F503,'Pond name mapping'!B$3:C$91,2,FALSE)</f>
        <v>Patch.P</v>
      </c>
      <c r="H503" s="8" t="s">
        <v>188</v>
      </c>
      <c r="I503" t="str">
        <f t="shared" si="7"/>
        <v>Patch.P#2023-05-27</v>
      </c>
      <c r="J503" t="s">
        <v>1131</v>
      </c>
    </row>
    <row r="504" spans="1:10">
      <c r="A504" t="s">
        <v>1132</v>
      </c>
      <c r="B504" s="6">
        <v>45089</v>
      </c>
      <c r="C504">
        <v>2023</v>
      </c>
      <c r="D504">
        <v>6</v>
      </c>
      <c r="E504">
        <v>12</v>
      </c>
      <c r="F504" t="s">
        <v>250</v>
      </c>
      <c r="G504" t="str">
        <f>VLOOKUP(F504,'Pond name mapping'!B$3:C$91,2,FALSE)</f>
        <v>Patch.P</v>
      </c>
      <c r="H504" s="8" t="s">
        <v>189</v>
      </c>
      <c r="I504" t="str">
        <f t="shared" si="7"/>
        <v>Patch.P#2023-06-12</v>
      </c>
      <c r="J504" t="s">
        <v>1133</v>
      </c>
    </row>
    <row r="505" spans="1:10">
      <c r="A505" t="s">
        <v>1134</v>
      </c>
      <c r="B505" s="6">
        <v>45101</v>
      </c>
      <c r="C505">
        <v>2023</v>
      </c>
      <c r="D505">
        <v>6</v>
      </c>
      <c r="E505">
        <v>24</v>
      </c>
      <c r="F505" t="s">
        <v>250</v>
      </c>
      <c r="G505" t="str">
        <f>VLOOKUP(F505,'Pond name mapping'!B$3:C$91,2,FALSE)</f>
        <v>Patch.P</v>
      </c>
      <c r="H505" s="8" t="s">
        <v>283</v>
      </c>
      <c r="I505" t="str">
        <f t="shared" si="7"/>
        <v>Patch.P#2023-06-24</v>
      </c>
      <c r="J505" t="s">
        <v>1135</v>
      </c>
    </row>
    <row r="506" spans="1:10">
      <c r="A506" t="s">
        <v>1136</v>
      </c>
      <c r="B506" s="6">
        <v>45117</v>
      </c>
      <c r="C506">
        <v>2023</v>
      </c>
      <c r="D506">
        <v>7</v>
      </c>
      <c r="E506">
        <v>10</v>
      </c>
      <c r="F506" t="s">
        <v>250</v>
      </c>
      <c r="G506" t="str">
        <f>VLOOKUP(F506,'Pond name mapping'!B$3:C$91,2,FALSE)</f>
        <v>Patch.P</v>
      </c>
      <c r="H506" s="8" t="s">
        <v>182</v>
      </c>
      <c r="I506" t="str">
        <f t="shared" si="7"/>
        <v>Patch.P#2023-07-10</v>
      </c>
      <c r="J506" t="s">
        <v>1137</v>
      </c>
    </row>
    <row r="507" spans="1:10">
      <c r="A507" t="s">
        <v>1138</v>
      </c>
      <c r="B507" s="6">
        <v>45129</v>
      </c>
      <c r="C507">
        <v>2023</v>
      </c>
      <c r="D507">
        <v>7</v>
      </c>
      <c r="E507">
        <v>22</v>
      </c>
      <c r="F507" t="s">
        <v>250</v>
      </c>
      <c r="G507" t="str">
        <f>VLOOKUP(F507,'Pond name mapping'!B$3:C$91,2,FALSE)</f>
        <v>Patch.P</v>
      </c>
      <c r="H507" s="8" t="s">
        <v>183</v>
      </c>
      <c r="I507" t="str">
        <f t="shared" si="7"/>
        <v>Patch.P#2023-07-22</v>
      </c>
      <c r="J507" t="s">
        <v>1139</v>
      </c>
    </row>
    <row r="508" spans="1:10">
      <c r="A508" t="s">
        <v>1140</v>
      </c>
      <c r="B508" s="6">
        <v>45145</v>
      </c>
      <c r="C508">
        <v>2023</v>
      </c>
      <c r="D508">
        <v>8</v>
      </c>
      <c r="E508">
        <v>7</v>
      </c>
      <c r="F508" t="s">
        <v>250</v>
      </c>
      <c r="G508" t="str">
        <f>VLOOKUP(F508,'Pond name mapping'!B$3:C$91,2,FALSE)</f>
        <v>Patch.P</v>
      </c>
      <c r="H508" s="8" t="s">
        <v>180</v>
      </c>
      <c r="I508" t="str">
        <f t="shared" si="7"/>
        <v>Patch.P#2023-08-07</v>
      </c>
      <c r="J508" t="s">
        <v>1141</v>
      </c>
    </row>
    <row r="509" spans="1:10">
      <c r="A509" t="s">
        <v>1142</v>
      </c>
      <c r="B509" s="6">
        <v>45157</v>
      </c>
      <c r="C509">
        <v>2023</v>
      </c>
      <c r="D509">
        <v>8</v>
      </c>
      <c r="E509">
        <v>19</v>
      </c>
      <c r="F509" t="s">
        <v>250</v>
      </c>
      <c r="G509" t="str">
        <f>VLOOKUP(F509,'Pond name mapping'!B$3:C$91,2,FALSE)</f>
        <v>Patch.P</v>
      </c>
      <c r="H509" s="8" t="s">
        <v>184</v>
      </c>
      <c r="I509" t="str">
        <f t="shared" si="7"/>
        <v>Patch.P#2023-08-19</v>
      </c>
      <c r="J509" t="s">
        <v>1143</v>
      </c>
    </row>
    <row r="510" spans="1:10">
      <c r="A510" t="s">
        <v>1144</v>
      </c>
      <c r="B510" s="6">
        <v>45174</v>
      </c>
      <c r="C510">
        <v>2023</v>
      </c>
      <c r="D510">
        <v>9</v>
      </c>
      <c r="E510">
        <v>5</v>
      </c>
      <c r="F510" t="s">
        <v>250</v>
      </c>
      <c r="G510" t="str">
        <f>VLOOKUP(F510,'Pond name mapping'!B$3:C$91,2,FALSE)</f>
        <v>Patch.P</v>
      </c>
      <c r="H510" s="8" t="s">
        <v>185</v>
      </c>
      <c r="I510" t="str">
        <f t="shared" si="7"/>
        <v>Patch.P#2023-09-05</v>
      </c>
      <c r="J510" t="s">
        <v>1145</v>
      </c>
    </row>
    <row r="511" spans="1:10">
      <c r="A511" t="s">
        <v>1146</v>
      </c>
      <c r="B511" s="6">
        <v>45185</v>
      </c>
      <c r="C511">
        <v>2023</v>
      </c>
      <c r="D511">
        <v>9</v>
      </c>
      <c r="E511">
        <v>16</v>
      </c>
      <c r="F511" t="s">
        <v>250</v>
      </c>
      <c r="G511" t="str">
        <f>VLOOKUP(F511,'Pond name mapping'!B$3:C$91,2,FALSE)</f>
        <v>Patch.P</v>
      </c>
      <c r="H511" s="8" t="s">
        <v>181</v>
      </c>
      <c r="I511" t="str">
        <f t="shared" si="7"/>
        <v>Patch.P#2023-09-16</v>
      </c>
      <c r="J511" t="s">
        <v>1147</v>
      </c>
    </row>
    <row r="512" spans="1:10">
      <c r="A512" t="s">
        <v>1148</v>
      </c>
      <c r="B512" s="6">
        <v>45201</v>
      </c>
      <c r="C512">
        <v>2023</v>
      </c>
      <c r="D512">
        <v>10</v>
      </c>
      <c r="E512">
        <v>2</v>
      </c>
      <c r="F512" t="s">
        <v>250</v>
      </c>
      <c r="G512" t="str">
        <f>VLOOKUP(F512,'Pond name mapping'!B$3:C$91,2,FALSE)</f>
        <v>Patch.P</v>
      </c>
      <c r="H512" s="8" t="s">
        <v>190</v>
      </c>
      <c r="I512" t="str">
        <f t="shared" si="7"/>
        <v>Patch.P#2023-10-02</v>
      </c>
      <c r="J512" t="s">
        <v>1149</v>
      </c>
    </row>
    <row r="513" spans="1:10">
      <c r="A513" t="s">
        <v>1150</v>
      </c>
      <c r="B513" s="6">
        <v>45213</v>
      </c>
      <c r="C513">
        <v>2023</v>
      </c>
      <c r="D513">
        <v>10</v>
      </c>
      <c r="E513">
        <v>14</v>
      </c>
      <c r="F513" t="s">
        <v>250</v>
      </c>
      <c r="G513" t="str">
        <f>VLOOKUP(F513,'Pond name mapping'!B$3:C$91,2,FALSE)</f>
        <v>Patch.P</v>
      </c>
      <c r="H513" s="8" t="s">
        <v>186</v>
      </c>
      <c r="I513" t="str">
        <f t="shared" si="7"/>
        <v>Patch.P#2023-10-14</v>
      </c>
      <c r="J513" t="s">
        <v>1151</v>
      </c>
    </row>
    <row r="514" spans="1:10">
      <c r="A514" t="s">
        <v>1152</v>
      </c>
      <c r="B514" s="6">
        <v>45229</v>
      </c>
      <c r="C514">
        <v>2023</v>
      </c>
      <c r="D514">
        <v>10</v>
      </c>
      <c r="E514">
        <v>30</v>
      </c>
      <c r="F514" t="s">
        <v>250</v>
      </c>
      <c r="G514" t="str">
        <f>VLOOKUP(F514,'Pond name mapping'!B$3:C$91,2,FALSE)</f>
        <v>Patch.P</v>
      </c>
      <c r="H514" s="8" t="s">
        <v>355</v>
      </c>
      <c r="I514" t="str">
        <f t="shared" si="7"/>
        <v>Patch.P#2023-10-30</v>
      </c>
      <c r="J514" t="s">
        <v>1153</v>
      </c>
    </row>
    <row r="515" spans="1:10">
      <c r="A515" t="s">
        <v>1154</v>
      </c>
      <c r="B515" s="6">
        <v>45229</v>
      </c>
      <c r="C515">
        <v>2023</v>
      </c>
      <c r="D515">
        <v>10</v>
      </c>
      <c r="E515">
        <v>30</v>
      </c>
      <c r="F515" t="s">
        <v>250</v>
      </c>
      <c r="G515" t="str">
        <f>VLOOKUP(F515,'Pond name mapping'!B$3:C$91,2,FALSE)</f>
        <v>Patch.P</v>
      </c>
      <c r="H515" s="8" t="s">
        <v>355</v>
      </c>
      <c r="I515" t="str">
        <f t="shared" si="7"/>
        <v>Patch.P#2023-10-30</v>
      </c>
      <c r="J515" t="s">
        <v>1155</v>
      </c>
    </row>
    <row r="516" spans="1:10">
      <c r="A516" t="s">
        <v>1156</v>
      </c>
      <c r="B516" s="6">
        <v>44828</v>
      </c>
      <c r="C516">
        <v>2022</v>
      </c>
      <c r="D516">
        <v>9</v>
      </c>
      <c r="E516">
        <v>24</v>
      </c>
      <c r="F516" t="s">
        <v>250</v>
      </c>
      <c r="G516" t="str">
        <f>VLOOKUP(F516,'Pond name mapping'!B$3:C$91,2,FALSE)</f>
        <v>Patch.P</v>
      </c>
      <c r="H516" s="8" t="s">
        <v>324</v>
      </c>
      <c r="I516" t="str">
        <f t="shared" si="7"/>
        <v>Patch.P#2022-09-24</v>
      </c>
      <c r="J516" t="s">
        <v>1157</v>
      </c>
    </row>
    <row r="517" spans="1:10">
      <c r="A517" t="s">
        <v>1158</v>
      </c>
      <c r="B517" s="6">
        <v>44837</v>
      </c>
      <c r="C517">
        <v>2022</v>
      </c>
      <c r="D517">
        <v>10</v>
      </c>
      <c r="E517">
        <v>3</v>
      </c>
      <c r="F517" t="s">
        <v>250</v>
      </c>
      <c r="G517" t="str">
        <f>VLOOKUP(F517,'Pond name mapping'!B$3:C$91,2,FALSE)</f>
        <v>Patch.P</v>
      </c>
      <c r="H517" s="8" t="s">
        <v>326</v>
      </c>
      <c r="I517" t="str">
        <f t="shared" ref="I517:I580" si="8">CONCATENATE(G517,"#",H517)</f>
        <v>Patch.P#2022-10-03</v>
      </c>
      <c r="J517" t="s">
        <v>1159</v>
      </c>
    </row>
    <row r="518" spans="1:10">
      <c r="A518" t="s">
        <v>1160</v>
      </c>
      <c r="B518" s="6">
        <v>45117</v>
      </c>
      <c r="C518">
        <v>2023</v>
      </c>
      <c r="D518">
        <v>7</v>
      </c>
      <c r="E518">
        <v>10</v>
      </c>
      <c r="F518" t="s">
        <v>251</v>
      </c>
      <c r="G518" t="str">
        <f>VLOOKUP(F518,'Pond name mapping'!B$3:C$91,2,FALSE)</f>
        <v>Patch.R</v>
      </c>
      <c r="H518" s="8" t="s">
        <v>182</v>
      </c>
      <c r="I518" t="str">
        <f t="shared" si="8"/>
        <v>Patch.R#2023-07-10</v>
      </c>
      <c r="J518" t="s">
        <v>1161</v>
      </c>
    </row>
    <row r="519" spans="1:10">
      <c r="A519" t="s">
        <v>1162</v>
      </c>
      <c r="B519" s="6">
        <v>45129</v>
      </c>
      <c r="C519">
        <v>2023</v>
      </c>
      <c r="D519">
        <v>7</v>
      </c>
      <c r="E519">
        <v>22</v>
      </c>
      <c r="F519" t="s">
        <v>251</v>
      </c>
      <c r="G519" t="str">
        <f>VLOOKUP(F519,'Pond name mapping'!B$3:C$91,2,FALSE)</f>
        <v>Patch.R</v>
      </c>
      <c r="H519" s="8" t="s">
        <v>183</v>
      </c>
      <c r="I519" t="str">
        <f t="shared" si="8"/>
        <v>Patch.R#2023-07-22</v>
      </c>
      <c r="J519" t="s">
        <v>1163</v>
      </c>
    </row>
    <row r="520" spans="1:10">
      <c r="A520" t="s">
        <v>1164</v>
      </c>
      <c r="B520" s="6">
        <v>45045</v>
      </c>
      <c r="C520">
        <v>2023</v>
      </c>
      <c r="D520">
        <v>4</v>
      </c>
      <c r="E520">
        <v>29</v>
      </c>
      <c r="F520" t="s">
        <v>252</v>
      </c>
      <c r="G520" t="str">
        <f>VLOOKUP(F520,'Pond name mapping'!B$3:C$91,2,FALSE)</f>
        <v>Patch.R</v>
      </c>
      <c r="H520" s="8" t="s">
        <v>300</v>
      </c>
      <c r="I520" t="str">
        <f t="shared" si="8"/>
        <v>Patch.R#2023-04-29</v>
      </c>
      <c r="J520" t="s">
        <v>1165</v>
      </c>
    </row>
    <row r="521" spans="1:10">
      <c r="A521" t="s">
        <v>1166</v>
      </c>
      <c r="B521" s="6">
        <v>45073</v>
      </c>
      <c r="C521">
        <v>2023</v>
      </c>
      <c r="D521">
        <v>5</v>
      </c>
      <c r="E521">
        <v>27</v>
      </c>
      <c r="F521" t="s">
        <v>252</v>
      </c>
      <c r="G521" t="str">
        <f>VLOOKUP(F521,'Pond name mapping'!B$3:C$91,2,FALSE)</f>
        <v>Patch.R</v>
      </c>
      <c r="H521" s="8" t="s">
        <v>188</v>
      </c>
      <c r="I521" t="str">
        <f t="shared" si="8"/>
        <v>Patch.R#2023-05-27</v>
      </c>
      <c r="J521" t="s">
        <v>1167</v>
      </c>
    </row>
    <row r="522" spans="1:10">
      <c r="A522" t="s">
        <v>1168</v>
      </c>
      <c r="B522" s="6">
        <v>45089</v>
      </c>
      <c r="C522">
        <v>2023</v>
      </c>
      <c r="D522">
        <v>6</v>
      </c>
      <c r="E522">
        <v>12</v>
      </c>
      <c r="F522" t="s">
        <v>252</v>
      </c>
      <c r="G522" t="str">
        <f>VLOOKUP(F522,'Pond name mapping'!B$3:C$91,2,FALSE)</f>
        <v>Patch.R</v>
      </c>
      <c r="H522" s="8" t="s">
        <v>189</v>
      </c>
      <c r="I522" t="str">
        <f t="shared" si="8"/>
        <v>Patch.R#2023-06-12</v>
      </c>
      <c r="J522" t="s">
        <v>1169</v>
      </c>
    </row>
    <row r="523" spans="1:10">
      <c r="A523" t="s">
        <v>1170</v>
      </c>
      <c r="B523" s="6">
        <v>45117</v>
      </c>
      <c r="C523">
        <v>2023</v>
      </c>
      <c r="D523">
        <v>7</v>
      </c>
      <c r="E523">
        <v>10</v>
      </c>
      <c r="F523" t="s">
        <v>252</v>
      </c>
      <c r="G523" t="str">
        <f>VLOOKUP(F523,'Pond name mapping'!B$3:C$91,2,FALSE)</f>
        <v>Patch.R</v>
      </c>
      <c r="H523" s="8" t="s">
        <v>182</v>
      </c>
      <c r="I523" t="str">
        <f t="shared" si="8"/>
        <v>Patch.R#2023-07-10</v>
      </c>
      <c r="J523" t="s">
        <v>1171</v>
      </c>
    </row>
    <row r="524" spans="1:10">
      <c r="A524" t="s">
        <v>1172</v>
      </c>
      <c r="B524" s="6">
        <v>45117</v>
      </c>
      <c r="C524">
        <v>2023</v>
      </c>
      <c r="D524">
        <v>7</v>
      </c>
      <c r="E524">
        <v>10</v>
      </c>
      <c r="F524" t="s">
        <v>252</v>
      </c>
      <c r="G524" t="str">
        <f>VLOOKUP(F524,'Pond name mapping'!B$3:C$91,2,FALSE)</f>
        <v>Patch.R</v>
      </c>
      <c r="H524" s="8" t="s">
        <v>182</v>
      </c>
      <c r="I524" t="str">
        <f t="shared" si="8"/>
        <v>Patch.R#2023-07-10</v>
      </c>
      <c r="J524" t="s">
        <v>1173</v>
      </c>
    </row>
    <row r="525" spans="1:10">
      <c r="A525" t="s">
        <v>1174</v>
      </c>
      <c r="B525" s="6">
        <v>45129</v>
      </c>
      <c r="C525">
        <v>2023</v>
      </c>
      <c r="D525">
        <v>7</v>
      </c>
      <c r="E525">
        <v>22</v>
      </c>
      <c r="F525" t="s">
        <v>252</v>
      </c>
      <c r="G525" t="str">
        <f>VLOOKUP(F525,'Pond name mapping'!B$3:C$91,2,FALSE)</f>
        <v>Patch.R</v>
      </c>
      <c r="H525" s="8" t="s">
        <v>183</v>
      </c>
      <c r="I525" t="str">
        <f t="shared" si="8"/>
        <v>Patch.R#2023-07-22</v>
      </c>
      <c r="J525" t="s">
        <v>1175</v>
      </c>
    </row>
    <row r="526" spans="1:10">
      <c r="A526" t="s">
        <v>1176</v>
      </c>
      <c r="B526" s="6">
        <v>45157</v>
      </c>
      <c r="C526">
        <v>2023</v>
      </c>
      <c r="D526">
        <v>8</v>
      </c>
      <c r="E526">
        <v>19</v>
      </c>
      <c r="F526" t="s">
        <v>252</v>
      </c>
      <c r="G526" t="str">
        <f>VLOOKUP(F526,'Pond name mapping'!B$3:C$91,2,FALSE)</f>
        <v>Patch.R</v>
      </c>
      <c r="H526" s="8" t="s">
        <v>184</v>
      </c>
      <c r="I526" t="str">
        <f t="shared" si="8"/>
        <v>Patch.R#2023-08-19</v>
      </c>
      <c r="J526" t="s">
        <v>1177</v>
      </c>
    </row>
    <row r="527" spans="1:10">
      <c r="A527" s="5" t="s">
        <v>1178</v>
      </c>
      <c r="B527" s="6">
        <v>45174</v>
      </c>
      <c r="C527">
        <v>2023</v>
      </c>
      <c r="D527">
        <v>9</v>
      </c>
      <c r="E527">
        <v>5</v>
      </c>
      <c r="F527" t="s">
        <v>252</v>
      </c>
      <c r="G527" t="str">
        <f>VLOOKUP(F527,'Pond name mapping'!B$3:C$91,2,FALSE)</f>
        <v>Patch.R</v>
      </c>
      <c r="H527" s="8" t="s">
        <v>185</v>
      </c>
      <c r="I527" t="str">
        <f t="shared" si="8"/>
        <v>Patch.R#2023-09-05</v>
      </c>
      <c r="J527" s="5" t="s">
        <v>1179</v>
      </c>
    </row>
    <row r="528" spans="1:10">
      <c r="A528" t="s">
        <v>1180</v>
      </c>
      <c r="B528" s="6">
        <v>45185</v>
      </c>
      <c r="C528">
        <v>2023</v>
      </c>
      <c r="D528">
        <v>9</v>
      </c>
      <c r="E528">
        <v>16</v>
      </c>
      <c r="F528" t="s">
        <v>252</v>
      </c>
      <c r="G528" t="str">
        <f>VLOOKUP(F528,'Pond name mapping'!B$3:C$91,2,FALSE)</f>
        <v>Patch.R</v>
      </c>
      <c r="H528" s="8" t="s">
        <v>181</v>
      </c>
      <c r="I528" t="str">
        <f t="shared" si="8"/>
        <v>Patch.R#2023-09-16</v>
      </c>
      <c r="J528" t="s">
        <v>1181</v>
      </c>
    </row>
    <row r="529" spans="1:10">
      <c r="A529" t="s">
        <v>1182</v>
      </c>
      <c r="B529" s="6">
        <v>45201</v>
      </c>
      <c r="C529">
        <v>2023</v>
      </c>
      <c r="D529">
        <v>10</v>
      </c>
      <c r="E529">
        <v>2</v>
      </c>
      <c r="F529" t="s">
        <v>252</v>
      </c>
      <c r="G529" t="str">
        <f>VLOOKUP(F529,'Pond name mapping'!B$3:C$91,2,FALSE)</f>
        <v>Patch.R</v>
      </c>
      <c r="H529" s="8" t="s">
        <v>190</v>
      </c>
      <c r="I529" t="str">
        <f t="shared" si="8"/>
        <v>Patch.R#2023-10-02</v>
      </c>
      <c r="J529" t="s">
        <v>1183</v>
      </c>
    </row>
    <row r="530" spans="1:10">
      <c r="A530" t="s">
        <v>1184</v>
      </c>
      <c r="B530" s="6">
        <v>45229</v>
      </c>
      <c r="C530">
        <v>2023</v>
      </c>
      <c r="D530">
        <v>10</v>
      </c>
      <c r="E530">
        <v>30</v>
      </c>
      <c r="F530" t="s">
        <v>252</v>
      </c>
      <c r="G530" t="str">
        <f>VLOOKUP(F530,'Pond name mapping'!B$3:C$91,2,FALSE)</f>
        <v>Patch.R</v>
      </c>
      <c r="H530" s="8" t="s">
        <v>355</v>
      </c>
      <c r="I530" t="str">
        <f t="shared" si="8"/>
        <v>Patch.R#2023-10-30</v>
      </c>
      <c r="J530" t="s">
        <v>1185</v>
      </c>
    </row>
    <row r="531" spans="1:10">
      <c r="A531" t="s">
        <v>1186</v>
      </c>
      <c r="B531" s="6">
        <v>45145</v>
      </c>
      <c r="C531">
        <v>2023</v>
      </c>
      <c r="D531">
        <v>8</v>
      </c>
      <c r="E531">
        <v>7</v>
      </c>
      <c r="F531" t="s">
        <v>253</v>
      </c>
      <c r="G531" t="str">
        <f>VLOOKUP(F531,'Pond name mapping'!B$3:C$91,2,FALSE)</f>
        <v>Patch.R</v>
      </c>
      <c r="H531" s="8" t="s">
        <v>180</v>
      </c>
      <c r="I531" t="str">
        <f t="shared" si="8"/>
        <v>Patch.R#2023-08-07</v>
      </c>
      <c r="J531" t="s">
        <v>1187</v>
      </c>
    </row>
    <row r="532" spans="1:10">
      <c r="A532" t="s">
        <v>1188</v>
      </c>
      <c r="B532" s="6">
        <v>45061</v>
      </c>
      <c r="C532">
        <v>2023</v>
      </c>
      <c r="D532">
        <v>5</v>
      </c>
      <c r="E532">
        <v>15</v>
      </c>
      <c r="F532" t="s">
        <v>254</v>
      </c>
      <c r="G532" t="str">
        <f>VLOOKUP(F532,'Pond name mapping'!B$3:C$91,2,FALSE)</f>
        <v>Patch.R</v>
      </c>
      <c r="H532" s="8" t="s">
        <v>187</v>
      </c>
      <c r="I532" t="str">
        <f t="shared" si="8"/>
        <v>Patch.R#2023-05-15</v>
      </c>
      <c r="J532" t="s">
        <v>1189</v>
      </c>
    </row>
    <row r="533" spans="1:10">
      <c r="A533" t="s">
        <v>1190</v>
      </c>
      <c r="B533" s="6">
        <v>45089</v>
      </c>
      <c r="C533">
        <v>2023</v>
      </c>
      <c r="D533">
        <v>6</v>
      </c>
      <c r="E533">
        <v>12</v>
      </c>
      <c r="F533" t="s">
        <v>254</v>
      </c>
      <c r="G533" t="str">
        <f>VLOOKUP(F533,'Pond name mapping'!B$3:C$91,2,FALSE)</f>
        <v>Patch.R</v>
      </c>
      <c r="H533" s="8" t="s">
        <v>189</v>
      </c>
      <c r="I533" t="str">
        <f t="shared" si="8"/>
        <v>Patch.R#2023-06-12</v>
      </c>
      <c r="J533" t="s">
        <v>1191</v>
      </c>
    </row>
    <row r="534" spans="1:10">
      <c r="A534" t="s">
        <v>1192</v>
      </c>
      <c r="B534" s="6">
        <v>45101</v>
      </c>
      <c r="C534">
        <v>2023</v>
      </c>
      <c r="D534">
        <v>6</v>
      </c>
      <c r="E534">
        <v>24</v>
      </c>
      <c r="F534" t="s">
        <v>254</v>
      </c>
      <c r="G534" t="str">
        <f>VLOOKUP(F534,'Pond name mapping'!B$3:C$91,2,FALSE)</f>
        <v>Patch.R</v>
      </c>
      <c r="H534" s="8" t="s">
        <v>283</v>
      </c>
      <c r="I534" t="str">
        <f t="shared" si="8"/>
        <v>Patch.R#2023-06-24</v>
      </c>
      <c r="J534" t="s">
        <v>1193</v>
      </c>
    </row>
    <row r="535" spans="1:10">
      <c r="A535" t="s">
        <v>1194</v>
      </c>
      <c r="B535" s="6">
        <v>45145</v>
      </c>
      <c r="C535">
        <v>2023</v>
      </c>
      <c r="D535">
        <v>8</v>
      </c>
      <c r="E535">
        <v>7</v>
      </c>
      <c r="F535" t="s">
        <v>254</v>
      </c>
      <c r="G535" t="str">
        <f>VLOOKUP(F535,'Pond name mapping'!B$3:C$91,2,FALSE)</f>
        <v>Patch.R</v>
      </c>
      <c r="H535" s="8" t="s">
        <v>180</v>
      </c>
      <c r="I535" t="str">
        <f t="shared" si="8"/>
        <v>Patch.R#2023-08-07</v>
      </c>
      <c r="J535" t="s">
        <v>1195</v>
      </c>
    </row>
    <row r="536" spans="1:10">
      <c r="A536" t="s">
        <v>1196</v>
      </c>
      <c r="B536" s="6">
        <v>45213</v>
      </c>
      <c r="C536">
        <v>2023</v>
      </c>
      <c r="D536">
        <v>10</v>
      </c>
      <c r="E536">
        <v>14</v>
      </c>
      <c r="F536" t="s">
        <v>254</v>
      </c>
      <c r="G536" t="str">
        <f>VLOOKUP(F536,'Pond name mapping'!B$3:C$91,2,FALSE)</f>
        <v>Patch.R</v>
      </c>
      <c r="H536" s="8" t="s">
        <v>186</v>
      </c>
      <c r="I536" t="str">
        <f t="shared" si="8"/>
        <v>Patch.R#2023-10-14</v>
      </c>
      <c r="J536" t="s">
        <v>1197</v>
      </c>
    </row>
    <row r="537" spans="1:10">
      <c r="A537" t="s">
        <v>1198</v>
      </c>
      <c r="B537" s="6">
        <v>44816</v>
      </c>
      <c r="C537">
        <v>2022</v>
      </c>
      <c r="D537">
        <v>9</v>
      </c>
      <c r="E537">
        <v>12</v>
      </c>
      <c r="F537" t="s">
        <v>254</v>
      </c>
      <c r="G537" t="str">
        <f>VLOOKUP(F537,'Pond name mapping'!B$3:C$91,2,FALSE)</f>
        <v>Patch.R</v>
      </c>
      <c r="H537" s="8" t="s">
        <v>320</v>
      </c>
      <c r="I537" t="str">
        <f t="shared" si="8"/>
        <v>Patch.R#2022-09-12</v>
      </c>
      <c r="J537" t="s">
        <v>1199</v>
      </c>
    </row>
    <row r="538" spans="1:10">
      <c r="A538" t="s">
        <v>1200</v>
      </c>
      <c r="B538" s="6">
        <v>44366</v>
      </c>
      <c r="C538">
        <v>2021</v>
      </c>
      <c r="D538">
        <v>6</v>
      </c>
      <c r="E538">
        <v>19</v>
      </c>
      <c r="F538" t="s">
        <v>255</v>
      </c>
      <c r="G538" t="str">
        <f>VLOOKUP(F538,'Pond name mapping'!B$3:C$91,2,FALSE)</f>
        <v>Patch</v>
      </c>
      <c r="H538" s="8" t="s">
        <v>303</v>
      </c>
      <c r="I538" t="str">
        <f t="shared" si="8"/>
        <v>Patch#2021-06-19</v>
      </c>
      <c r="J538" t="s">
        <v>1200</v>
      </c>
    </row>
    <row r="539" spans="1:10">
      <c r="A539" t="s">
        <v>1201</v>
      </c>
      <c r="B539" s="6">
        <v>44683</v>
      </c>
      <c r="C539">
        <v>2022</v>
      </c>
      <c r="D539">
        <v>5</v>
      </c>
      <c r="E539">
        <v>2</v>
      </c>
      <c r="F539" t="s">
        <v>256</v>
      </c>
      <c r="G539" t="str">
        <f>VLOOKUP(F539,'Pond name mapping'!B$3:C$91,2,FALSE)</f>
        <v>Patch.P</v>
      </c>
      <c r="H539" s="8" t="s">
        <v>305</v>
      </c>
      <c r="I539" t="str">
        <f t="shared" si="8"/>
        <v>Patch.P#2022-05-02</v>
      </c>
      <c r="J539" t="s">
        <v>1201</v>
      </c>
    </row>
    <row r="540" spans="1:10">
      <c r="A540" t="s">
        <v>1202</v>
      </c>
      <c r="B540" s="6">
        <v>44702</v>
      </c>
      <c r="C540">
        <v>2022</v>
      </c>
      <c r="D540">
        <v>5</v>
      </c>
      <c r="E540">
        <v>21</v>
      </c>
      <c r="F540" t="s">
        <v>256</v>
      </c>
      <c r="G540" t="str">
        <f>VLOOKUP(F540,'Pond name mapping'!B$3:C$91,2,FALSE)</f>
        <v>Patch.P</v>
      </c>
      <c r="H540" s="8" t="s">
        <v>307</v>
      </c>
      <c r="I540" t="str">
        <f t="shared" si="8"/>
        <v>Patch.P#2022-05-21</v>
      </c>
      <c r="J540" t="s">
        <v>1202</v>
      </c>
    </row>
    <row r="541" spans="1:10">
      <c r="A541" t="s">
        <v>1203</v>
      </c>
      <c r="B541" s="6">
        <v>44718</v>
      </c>
      <c r="C541">
        <v>2022</v>
      </c>
      <c r="D541">
        <v>6</v>
      </c>
      <c r="E541">
        <v>6</v>
      </c>
      <c r="F541" t="s">
        <v>256</v>
      </c>
      <c r="G541" t="str">
        <f>VLOOKUP(F541,'Pond name mapping'!B$3:C$91,2,FALSE)</f>
        <v>Patch.P</v>
      </c>
      <c r="H541" s="8" t="s">
        <v>309</v>
      </c>
      <c r="I541" t="str">
        <f t="shared" si="8"/>
        <v>Patch.P#2022-06-06</v>
      </c>
      <c r="J541" t="s">
        <v>1204</v>
      </c>
    </row>
    <row r="542" spans="1:10">
      <c r="A542" t="s">
        <v>1205</v>
      </c>
      <c r="B542" s="6">
        <v>44730</v>
      </c>
      <c r="C542">
        <v>2022</v>
      </c>
      <c r="D542">
        <v>6</v>
      </c>
      <c r="E542">
        <v>18</v>
      </c>
      <c r="F542" t="s">
        <v>256</v>
      </c>
      <c r="G542" t="str">
        <f>VLOOKUP(F542,'Pond name mapping'!B$3:C$91,2,FALSE)</f>
        <v>Patch.P</v>
      </c>
      <c r="H542" s="8" t="s">
        <v>311</v>
      </c>
      <c r="I542" t="str">
        <f t="shared" si="8"/>
        <v>Patch.P#2022-06-18</v>
      </c>
      <c r="J542" t="s">
        <v>1205</v>
      </c>
    </row>
    <row r="543" spans="1:10">
      <c r="A543" t="s">
        <v>1206</v>
      </c>
      <c r="B543" s="6">
        <v>44747</v>
      </c>
      <c r="C543">
        <v>2022</v>
      </c>
      <c r="D543">
        <v>7</v>
      </c>
      <c r="E543">
        <v>5</v>
      </c>
      <c r="F543" t="s">
        <v>256</v>
      </c>
      <c r="G543" t="str">
        <f>VLOOKUP(F543,'Pond name mapping'!B$3:C$91,2,FALSE)</f>
        <v>Patch.P</v>
      </c>
      <c r="H543" s="8" t="s">
        <v>313</v>
      </c>
      <c r="I543" t="str">
        <f t="shared" si="8"/>
        <v>Patch.P#2022-07-05</v>
      </c>
      <c r="J543" t="s">
        <v>1206</v>
      </c>
    </row>
    <row r="544" spans="1:10">
      <c r="A544" t="s">
        <v>1207</v>
      </c>
      <c r="B544" s="6">
        <v>44758</v>
      </c>
      <c r="C544">
        <v>2022</v>
      </c>
      <c r="D544">
        <v>7</v>
      </c>
      <c r="E544">
        <v>16</v>
      </c>
      <c r="F544" t="s">
        <v>256</v>
      </c>
      <c r="G544" t="str">
        <f>VLOOKUP(F544,'Pond name mapping'!B$3:C$91,2,FALSE)</f>
        <v>Patch.P</v>
      </c>
      <c r="H544" s="8" t="s">
        <v>315</v>
      </c>
      <c r="I544" t="str">
        <f t="shared" si="8"/>
        <v>Patch.P#2022-07-16</v>
      </c>
      <c r="J544" t="s">
        <v>1208</v>
      </c>
    </row>
    <row r="545" spans="1:10">
      <c r="A545" t="s">
        <v>1209</v>
      </c>
      <c r="B545" s="6">
        <v>44800</v>
      </c>
      <c r="C545">
        <v>2022</v>
      </c>
      <c r="D545">
        <v>8</v>
      </c>
      <c r="E545">
        <v>27</v>
      </c>
      <c r="F545" t="s">
        <v>256</v>
      </c>
      <c r="G545" t="str">
        <f>VLOOKUP(F545,'Pond name mapping'!B$3:C$91,2,FALSE)</f>
        <v>Patch.P</v>
      </c>
      <c r="H545" s="8" t="s">
        <v>376</v>
      </c>
      <c r="I545" t="str">
        <f t="shared" si="8"/>
        <v>Patch.P#2022-08-27</v>
      </c>
      <c r="J545" t="s">
        <v>1210</v>
      </c>
    </row>
    <row r="546" spans="1:10">
      <c r="A546" t="s">
        <v>1211</v>
      </c>
      <c r="B546" s="6">
        <v>44849</v>
      </c>
      <c r="C546">
        <v>2022</v>
      </c>
      <c r="D546">
        <v>10</v>
      </c>
      <c r="E546">
        <v>15</v>
      </c>
      <c r="F546" t="s">
        <v>256</v>
      </c>
      <c r="G546" t="str">
        <f>VLOOKUP(F546,'Pond name mapping'!B$3:C$91,2,FALSE)</f>
        <v>Patch.P</v>
      </c>
      <c r="H546" s="8" t="s">
        <v>379</v>
      </c>
      <c r="I546" t="str">
        <f t="shared" si="8"/>
        <v>Patch.P#2022-10-15</v>
      </c>
      <c r="J546" t="s">
        <v>1211</v>
      </c>
    </row>
    <row r="547" spans="1:10">
      <c r="A547" t="s">
        <v>1212</v>
      </c>
      <c r="B547" s="6">
        <v>44683</v>
      </c>
      <c r="C547">
        <v>2022</v>
      </c>
      <c r="D547">
        <v>5</v>
      </c>
      <c r="E547">
        <v>2</v>
      </c>
      <c r="F547" t="s">
        <v>257</v>
      </c>
      <c r="G547" t="str">
        <f>VLOOKUP(F547,'Pond name mapping'!B$3:C$91,2,FALSE)</f>
        <v>Patch.R</v>
      </c>
      <c r="H547" s="8" t="s">
        <v>305</v>
      </c>
      <c r="I547" t="str">
        <f t="shared" si="8"/>
        <v>Patch.R#2022-05-02</v>
      </c>
      <c r="J547" t="s">
        <v>1212</v>
      </c>
    </row>
    <row r="548" spans="1:10">
      <c r="A548" t="s">
        <v>1213</v>
      </c>
      <c r="B548" s="6">
        <v>44718</v>
      </c>
      <c r="C548">
        <v>2022</v>
      </c>
      <c r="D548">
        <v>6</v>
      </c>
      <c r="E548">
        <v>6</v>
      </c>
      <c r="F548" t="s">
        <v>257</v>
      </c>
      <c r="G548" t="str">
        <f>VLOOKUP(F548,'Pond name mapping'!B$3:C$91,2,FALSE)</f>
        <v>Patch.R</v>
      </c>
      <c r="H548" s="8" t="s">
        <v>309</v>
      </c>
      <c r="I548" t="str">
        <f t="shared" si="8"/>
        <v>Patch.R#2022-06-06</v>
      </c>
      <c r="J548" t="s">
        <v>1213</v>
      </c>
    </row>
    <row r="549" spans="1:10">
      <c r="A549" t="s">
        <v>1214</v>
      </c>
      <c r="B549" s="6">
        <v>44747</v>
      </c>
      <c r="C549">
        <v>2022</v>
      </c>
      <c r="D549">
        <v>7</v>
      </c>
      <c r="E549">
        <v>5</v>
      </c>
      <c r="F549" t="s">
        <v>257</v>
      </c>
      <c r="G549" t="str">
        <f>VLOOKUP(F549,'Pond name mapping'!B$3:C$91,2,FALSE)</f>
        <v>Patch.R</v>
      </c>
      <c r="H549" s="8" t="s">
        <v>313</v>
      </c>
      <c r="I549" t="str">
        <f t="shared" si="8"/>
        <v>Patch.R#2022-07-05</v>
      </c>
      <c r="J549" t="s">
        <v>1215</v>
      </c>
    </row>
    <row r="550" spans="1:10">
      <c r="A550" t="s">
        <v>1216</v>
      </c>
      <c r="B550" s="6">
        <v>44774</v>
      </c>
      <c r="C550">
        <v>2022</v>
      </c>
      <c r="D550">
        <v>8</v>
      </c>
      <c r="E550">
        <v>1</v>
      </c>
      <c r="F550" t="s">
        <v>257</v>
      </c>
      <c r="G550" t="str">
        <f>VLOOKUP(F550,'Pond name mapping'!B$3:C$91,2,FALSE)</f>
        <v>Patch.R</v>
      </c>
      <c r="H550" s="8" t="s">
        <v>317</v>
      </c>
      <c r="I550" t="str">
        <f t="shared" si="8"/>
        <v>Patch.R#2022-08-01</v>
      </c>
      <c r="J550" t="s">
        <v>1217</v>
      </c>
    </row>
    <row r="551" spans="1:10">
      <c r="A551" t="s">
        <v>1218</v>
      </c>
      <c r="B551" s="6">
        <v>44464</v>
      </c>
      <c r="C551">
        <v>2021</v>
      </c>
      <c r="D551">
        <v>9</v>
      </c>
      <c r="E551">
        <v>25</v>
      </c>
      <c r="F551" t="s">
        <v>257</v>
      </c>
      <c r="G551" t="str">
        <f>VLOOKUP(F551,'Pond name mapping'!B$3:C$91,2,FALSE)</f>
        <v>Patch.R</v>
      </c>
      <c r="H551" s="8" t="s">
        <v>329</v>
      </c>
      <c r="I551" t="str">
        <f t="shared" si="8"/>
        <v>Patch.R#2021-09-25</v>
      </c>
      <c r="J551" t="s">
        <v>1218</v>
      </c>
    </row>
    <row r="552" spans="1:10">
      <c r="A552" t="s">
        <v>1219</v>
      </c>
      <c r="B552" s="6">
        <v>45446</v>
      </c>
      <c r="C552">
        <v>2024</v>
      </c>
      <c r="D552">
        <v>6</v>
      </c>
      <c r="E552">
        <v>3</v>
      </c>
      <c r="F552" t="s">
        <v>258</v>
      </c>
      <c r="G552" t="str">
        <f>VLOOKUP(F552,'Pond name mapping'!B$3:C$91,2,FALSE)</f>
        <v>Quinsigamond</v>
      </c>
      <c r="H552" s="8" t="s">
        <v>334</v>
      </c>
      <c r="I552" t="str">
        <f t="shared" si="8"/>
        <v>Quinsigamond#2024-06-03</v>
      </c>
      <c r="J552" t="s">
        <v>1220</v>
      </c>
    </row>
    <row r="553" spans="1:10">
      <c r="A553" t="s">
        <v>1221</v>
      </c>
      <c r="B553" s="6">
        <v>45446</v>
      </c>
      <c r="C553">
        <v>2024</v>
      </c>
      <c r="D553">
        <v>6</v>
      </c>
      <c r="E553">
        <v>3</v>
      </c>
      <c r="F553" t="s">
        <v>259</v>
      </c>
      <c r="G553" t="str">
        <f>VLOOKUP(F553,'Pond name mapping'!B$3:C$91,2,FALSE)</f>
        <v>Quinsigamond</v>
      </c>
      <c r="H553" s="8" t="s">
        <v>334</v>
      </c>
      <c r="I553" t="str">
        <f t="shared" si="8"/>
        <v>Quinsigamond#2024-06-03</v>
      </c>
      <c r="J553" t="s">
        <v>1222</v>
      </c>
    </row>
    <row r="554" spans="1:10">
      <c r="A554" t="s">
        <v>1223</v>
      </c>
      <c r="B554" s="6">
        <v>45045</v>
      </c>
      <c r="C554">
        <v>2023</v>
      </c>
      <c r="D554">
        <v>4</v>
      </c>
      <c r="E554">
        <v>29</v>
      </c>
      <c r="F554" t="s">
        <v>260</v>
      </c>
      <c r="G554" t="str">
        <f>VLOOKUP(F554,'Pond name mapping'!B$3:C$91,2,FALSE)</f>
        <v>Quinsigamond</v>
      </c>
      <c r="H554" s="8" t="s">
        <v>300</v>
      </c>
      <c r="I554" t="str">
        <f t="shared" si="8"/>
        <v>Quinsigamond#2023-04-29</v>
      </c>
      <c r="J554" t="s">
        <v>1224</v>
      </c>
    </row>
    <row r="555" spans="1:10">
      <c r="A555" t="s">
        <v>1225</v>
      </c>
      <c r="B555" s="6">
        <v>45061</v>
      </c>
      <c r="C555">
        <v>2023</v>
      </c>
      <c r="D555">
        <v>5</v>
      </c>
      <c r="E555">
        <v>15</v>
      </c>
      <c r="F555" t="s">
        <v>260</v>
      </c>
      <c r="G555" t="str">
        <f>VLOOKUP(F555,'Pond name mapping'!B$3:C$91,2,FALSE)</f>
        <v>Quinsigamond</v>
      </c>
      <c r="H555" s="8" t="s">
        <v>187</v>
      </c>
      <c r="I555" t="str">
        <f t="shared" si="8"/>
        <v>Quinsigamond#2023-05-15</v>
      </c>
      <c r="J555" t="s">
        <v>1226</v>
      </c>
    </row>
    <row r="556" spans="1:10">
      <c r="A556" t="s">
        <v>1227</v>
      </c>
      <c r="B556" s="6">
        <v>45089</v>
      </c>
      <c r="C556">
        <v>2023</v>
      </c>
      <c r="D556">
        <v>6</v>
      </c>
      <c r="E556">
        <v>12</v>
      </c>
      <c r="F556" t="s">
        <v>260</v>
      </c>
      <c r="G556" t="str">
        <f>VLOOKUP(F556,'Pond name mapping'!B$3:C$91,2,FALSE)</f>
        <v>Quinsigamond</v>
      </c>
      <c r="H556" s="8" t="s">
        <v>189</v>
      </c>
      <c r="I556" t="str">
        <f t="shared" si="8"/>
        <v>Quinsigamond#2023-06-12</v>
      </c>
      <c r="J556" t="s">
        <v>1228</v>
      </c>
    </row>
    <row r="557" spans="1:10">
      <c r="A557" t="s">
        <v>1229</v>
      </c>
      <c r="B557" s="6">
        <v>44366</v>
      </c>
      <c r="C557">
        <v>2021</v>
      </c>
      <c r="D557">
        <v>6</v>
      </c>
      <c r="E557">
        <v>19</v>
      </c>
      <c r="F557" t="s">
        <v>260</v>
      </c>
      <c r="G557" t="str">
        <f>VLOOKUP(F557,'Pond name mapping'!B$3:C$91,2,FALSE)</f>
        <v>Quinsigamond</v>
      </c>
      <c r="H557" s="8" t="s">
        <v>303</v>
      </c>
      <c r="I557" t="str">
        <f t="shared" si="8"/>
        <v>Quinsigamond#2021-06-19</v>
      </c>
      <c r="J557" t="s">
        <v>1229</v>
      </c>
    </row>
    <row r="558" spans="1:10">
      <c r="A558" t="s">
        <v>1230</v>
      </c>
      <c r="B558" s="6">
        <v>45101</v>
      </c>
      <c r="C558">
        <v>2023</v>
      </c>
      <c r="D558">
        <v>6</v>
      </c>
      <c r="E558">
        <v>24</v>
      </c>
      <c r="F558" t="s">
        <v>260</v>
      </c>
      <c r="G558" t="str">
        <f>VLOOKUP(F558,'Pond name mapping'!B$3:C$91,2,FALSE)</f>
        <v>Quinsigamond</v>
      </c>
      <c r="H558" s="8" t="s">
        <v>283</v>
      </c>
      <c r="I558" t="str">
        <f t="shared" si="8"/>
        <v>Quinsigamond#2023-06-24</v>
      </c>
      <c r="J558" t="s">
        <v>1231</v>
      </c>
    </row>
    <row r="559" spans="1:10">
      <c r="A559" t="s">
        <v>1232</v>
      </c>
      <c r="B559" s="6">
        <v>45117</v>
      </c>
      <c r="C559">
        <v>2023</v>
      </c>
      <c r="D559">
        <v>7</v>
      </c>
      <c r="E559">
        <v>10</v>
      </c>
      <c r="F559" t="s">
        <v>260</v>
      </c>
      <c r="G559" t="str">
        <f>VLOOKUP(F559,'Pond name mapping'!B$3:C$91,2,FALSE)</f>
        <v>Quinsigamond</v>
      </c>
      <c r="H559" s="8" t="s">
        <v>182</v>
      </c>
      <c r="I559" t="str">
        <f t="shared" si="8"/>
        <v>Quinsigamond#2023-07-10</v>
      </c>
      <c r="J559" t="s">
        <v>1233</v>
      </c>
    </row>
    <row r="560" spans="1:10">
      <c r="A560" t="s">
        <v>1234</v>
      </c>
      <c r="B560" s="6">
        <v>45129</v>
      </c>
      <c r="C560">
        <v>2023</v>
      </c>
      <c r="D560">
        <v>7</v>
      </c>
      <c r="E560">
        <v>22</v>
      </c>
      <c r="F560" t="s">
        <v>260</v>
      </c>
      <c r="G560" t="str">
        <f>VLOOKUP(F560,'Pond name mapping'!B$3:C$91,2,FALSE)</f>
        <v>Quinsigamond</v>
      </c>
      <c r="H560" s="8" t="s">
        <v>183</v>
      </c>
      <c r="I560" t="str">
        <f t="shared" si="8"/>
        <v>Quinsigamond#2023-07-22</v>
      </c>
      <c r="J560" t="s">
        <v>1235</v>
      </c>
    </row>
    <row r="561" spans="1:10">
      <c r="A561" t="s">
        <v>1236</v>
      </c>
      <c r="B561" s="6">
        <v>44702</v>
      </c>
      <c r="C561">
        <v>2022</v>
      </c>
      <c r="D561">
        <v>5</v>
      </c>
      <c r="E561">
        <v>21</v>
      </c>
      <c r="F561" t="s">
        <v>260</v>
      </c>
      <c r="G561" t="str">
        <f>VLOOKUP(F561,'Pond name mapping'!B$3:C$91,2,FALSE)</f>
        <v>Quinsigamond</v>
      </c>
      <c r="H561" s="8" t="s">
        <v>307</v>
      </c>
      <c r="I561" t="str">
        <f t="shared" si="8"/>
        <v>Quinsigamond#2022-05-21</v>
      </c>
      <c r="J561" t="s">
        <v>1236</v>
      </c>
    </row>
    <row r="562" spans="1:10">
      <c r="A562" t="s">
        <v>1237</v>
      </c>
      <c r="B562" s="6">
        <v>44718</v>
      </c>
      <c r="C562">
        <v>2022</v>
      </c>
      <c r="D562">
        <v>6</v>
      </c>
      <c r="E562">
        <v>6</v>
      </c>
      <c r="F562" t="s">
        <v>260</v>
      </c>
      <c r="G562" t="str">
        <f>VLOOKUP(F562,'Pond name mapping'!B$3:C$91,2,FALSE)</f>
        <v>Quinsigamond</v>
      </c>
      <c r="H562" s="8" t="s">
        <v>309</v>
      </c>
      <c r="I562" t="str">
        <f t="shared" si="8"/>
        <v>Quinsigamond#2022-06-06</v>
      </c>
      <c r="J562" t="s">
        <v>1237</v>
      </c>
    </row>
    <row r="563" spans="1:10">
      <c r="A563" t="s">
        <v>1238</v>
      </c>
      <c r="B563" s="6">
        <v>44730</v>
      </c>
      <c r="C563">
        <v>2022</v>
      </c>
      <c r="D563">
        <v>6</v>
      </c>
      <c r="E563">
        <v>18</v>
      </c>
      <c r="F563" t="s">
        <v>260</v>
      </c>
      <c r="G563" t="str">
        <f>VLOOKUP(F563,'Pond name mapping'!B$3:C$91,2,FALSE)</f>
        <v>Quinsigamond</v>
      </c>
      <c r="H563" s="8" t="s">
        <v>311</v>
      </c>
      <c r="I563" t="str">
        <f t="shared" si="8"/>
        <v>Quinsigamond#2022-06-18</v>
      </c>
      <c r="J563" t="s">
        <v>1238</v>
      </c>
    </row>
    <row r="564" spans="1:10">
      <c r="A564" t="s">
        <v>1239</v>
      </c>
      <c r="B564" s="6">
        <v>44747</v>
      </c>
      <c r="C564">
        <v>2022</v>
      </c>
      <c r="D564">
        <v>7</v>
      </c>
      <c r="E564">
        <v>5</v>
      </c>
      <c r="F564" t="s">
        <v>260</v>
      </c>
      <c r="G564" t="str">
        <f>VLOOKUP(F564,'Pond name mapping'!B$3:C$91,2,FALSE)</f>
        <v>Quinsigamond</v>
      </c>
      <c r="H564" s="8" t="s">
        <v>313</v>
      </c>
      <c r="I564" t="str">
        <f t="shared" si="8"/>
        <v>Quinsigamond#2022-07-05</v>
      </c>
      <c r="J564" t="s">
        <v>1239</v>
      </c>
    </row>
    <row r="565" spans="1:10">
      <c r="A565" t="s">
        <v>1240</v>
      </c>
      <c r="B565" s="6">
        <v>44758</v>
      </c>
      <c r="C565">
        <v>2022</v>
      </c>
      <c r="D565">
        <v>7</v>
      </c>
      <c r="E565">
        <v>16</v>
      </c>
      <c r="F565" t="s">
        <v>260</v>
      </c>
      <c r="G565" t="str">
        <f>VLOOKUP(F565,'Pond name mapping'!B$3:C$91,2,FALSE)</f>
        <v>Quinsigamond</v>
      </c>
      <c r="H565" s="8" t="s">
        <v>315</v>
      </c>
      <c r="I565" t="str">
        <f t="shared" si="8"/>
        <v>Quinsigamond#2022-07-16</v>
      </c>
      <c r="J565" t="s">
        <v>1240</v>
      </c>
    </row>
    <row r="566" spans="1:10">
      <c r="A566" t="s">
        <v>1241</v>
      </c>
      <c r="B566" s="6">
        <v>44774</v>
      </c>
      <c r="C566">
        <v>2022</v>
      </c>
      <c r="D566">
        <v>8</v>
      </c>
      <c r="E566">
        <v>1</v>
      </c>
      <c r="F566" t="s">
        <v>260</v>
      </c>
      <c r="G566" t="str">
        <f>VLOOKUP(F566,'Pond name mapping'!B$3:C$91,2,FALSE)</f>
        <v>Quinsigamond</v>
      </c>
      <c r="H566" s="8" t="s">
        <v>317</v>
      </c>
      <c r="I566" t="str">
        <f t="shared" si="8"/>
        <v>Quinsigamond#2022-08-01</v>
      </c>
      <c r="J566" t="s">
        <v>1241</v>
      </c>
    </row>
    <row r="567" spans="1:10">
      <c r="A567" t="s">
        <v>1242</v>
      </c>
      <c r="B567" s="6">
        <v>44828</v>
      </c>
      <c r="C567">
        <v>2022</v>
      </c>
      <c r="D567">
        <v>9</v>
      </c>
      <c r="E567">
        <v>24</v>
      </c>
      <c r="F567" t="s">
        <v>260</v>
      </c>
      <c r="G567" t="str">
        <f>VLOOKUP(F567,'Pond name mapping'!B$3:C$91,2,FALSE)</f>
        <v>Quinsigamond</v>
      </c>
      <c r="H567" s="8" t="s">
        <v>324</v>
      </c>
      <c r="I567" t="str">
        <f t="shared" si="8"/>
        <v>Quinsigamond#2022-09-24</v>
      </c>
      <c r="J567" t="s">
        <v>1242</v>
      </c>
    </row>
    <row r="568" spans="1:10">
      <c r="A568" t="s">
        <v>1243</v>
      </c>
      <c r="B568" s="6">
        <v>44832</v>
      </c>
      <c r="C568">
        <v>2022</v>
      </c>
      <c r="D568">
        <v>9</v>
      </c>
      <c r="E568">
        <v>28</v>
      </c>
      <c r="F568" t="s">
        <v>260</v>
      </c>
      <c r="G568" t="str">
        <f>VLOOKUP(F568,'Pond name mapping'!B$3:C$91,2,FALSE)</f>
        <v>Quinsigamond</v>
      </c>
      <c r="H568" s="8" t="s">
        <v>1244</v>
      </c>
      <c r="I568" t="str">
        <f t="shared" si="8"/>
        <v>Quinsigamond#2022-09-28</v>
      </c>
      <c r="J568" t="s">
        <v>1243</v>
      </c>
    </row>
    <row r="569" spans="1:10">
      <c r="A569" t="s">
        <v>1245</v>
      </c>
      <c r="B569" s="6">
        <v>44849</v>
      </c>
      <c r="C569">
        <v>2022</v>
      </c>
      <c r="D569">
        <v>10</v>
      </c>
      <c r="E569">
        <v>15</v>
      </c>
      <c r="F569" t="s">
        <v>260</v>
      </c>
      <c r="G569" t="str">
        <f>VLOOKUP(F569,'Pond name mapping'!B$3:C$91,2,FALSE)</f>
        <v>Quinsigamond</v>
      </c>
      <c r="H569" s="8" t="s">
        <v>379</v>
      </c>
      <c r="I569" t="str">
        <f t="shared" si="8"/>
        <v>Quinsigamond#2022-10-15</v>
      </c>
      <c r="J569" t="s">
        <v>1245</v>
      </c>
    </row>
    <row r="570" spans="1:10">
      <c r="A570" t="s">
        <v>1246</v>
      </c>
      <c r="B570" s="6">
        <v>44464</v>
      </c>
      <c r="C570">
        <v>2021</v>
      </c>
      <c r="D570">
        <v>9</v>
      </c>
      <c r="E570">
        <v>25</v>
      </c>
      <c r="F570" t="s">
        <v>260</v>
      </c>
      <c r="G570" t="str">
        <f>VLOOKUP(F570,'Pond name mapping'!B$3:C$91,2,FALSE)</f>
        <v>Quinsigamond</v>
      </c>
      <c r="H570" s="8" t="s">
        <v>329</v>
      </c>
      <c r="I570" t="str">
        <f t="shared" si="8"/>
        <v>Quinsigamond#2021-09-25</v>
      </c>
      <c r="J570" t="s">
        <v>1246</v>
      </c>
    </row>
    <row r="571" spans="1:10">
      <c r="A571" t="s">
        <v>1247</v>
      </c>
      <c r="B571" s="6">
        <v>44485</v>
      </c>
      <c r="C571">
        <v>2021</v>
      </c>
      <c r="D571">
        <v>10</v>
      </c>
      <c r="E571">
        <v>16</v>
      </c>
      <c r="F571" t="s">
        <v>260</v>
      </c>
      <c r="G571" t="str">
        <f>VLOOKUP(F571,'Pond name mapping'!B$3:C$91,2,FALSE)</f>
        <v>Quinsigamond</v>
      </c>
      <c r="H571" s="8" t="s">
        <v>331</v>
      </c>
      <c r="I571" t="str">
        <f t="shared" si="8"/>
        <v>Quinsigamond#2021-10-16</v>
      </c>
      <c r="J571" t="s">
        <v>1247</v>
      </c>
    </row>
    <row r="572" spans="1:10">
      <c r="A572" t="s">
        <v>1248</v>
      </c>
      <c r="B572" s="6">
        <v>44485</v>
      </c>
      <c r="C572">
        <v>2021</v>
      </c>
      <c r="D572">
        <v>10</v>
      </c>
      <c r="E572">
        <v>16</v>
      </c>
      <c r="F572" t="s">
        <v>260</v>
      </c>
      <c r="G572" t="str">
        <f>VLOOKUP(F572,'Pond name mapping'!B$3:C$91,2,FALSE)</f>
        <v>Quinsigamond</v>
      </c>
      <c r="H572" s="8" t="s">
        <v>331</v>
      </c>
      <c r="I572" t="str">
        <f t="shared" si="8"/>
        <v>Quinsigamond#2021-10-16</v>
      </c>
      <c r="J572" t="s">
        <v>1248</v>
      </c>
    </row>
    <row r="573" spans="1:10">
      <c r="A573" t="s">
        <v>1249</v>
      </c>
      <c r="B573" s="6">
        <v>45061</v>
      </c>
      <c r="C573">
        <v>2023</v>
      </c>
      <c r="D573">
        <v>5</v>
      </c>
      <c r="E573">
        <v>15</v>
      </c>
      <c r="F573" t="s">
        <v>261</v>
      </c>
      <c r="G573" t="str">
        <f>VLOOKUP(F573,'Pond name mapping'!B$3:C$91,2,FALSE)</f>
        <v>Salisbury</v>
      </c>
      <c r="H573" s="8" t="s">
        <v>187</v>
      </c>
      <c r="I573" t="str">
        <f t="shared" si="8"/>
        <v>Salisbury#2023-05-15</v>
      </c>
      <c r="J573" t="s">
        <v>1250</v>
      </c>
    </row>
    <row r="574" spans="1:10">
      <c r="A574" t="s">
        <v>1251</v>
      </c>
      <c r="B574" s="6">
        <v>45101</v>
      </c>
      <c r="C574">
        <v>2023</v>
      </c>
      <c r="D574">
        <v>6</v>
      </c>
      <c r="E574">
        <v>24</v>
      </c>
      <c r="F574" t="s">
        <v>261</v>
      </c>
      <c r="G574" t="str">
        <f>VLOOKUP(F574,'Pond name mapping'!B$3:C$91,2,FALSE)</f>
        <v>Salisbury</v>
      </c>
      <c r="H574" s="8" t="s">
        <v>283</v>
      </c>
      <c r="I574" t="str">
        <f t="shared" si="8"/>
        <v>Salisbury#2023-06-24</v>
      </c>
      <c r="J574" t="s">
        <v>1252</v>
      </c>
    </row>
    <row r="575" spans="1:10">
      <c r="A575" t="s">
        <v>1253</v>
      </c>
      <c r="B575" s="6">
        <v>45129</v>
      </c>
      <c r="C575">
        <v>2023</v>
      </c>
      <c r="D575">
        <v>7</v>
      </c>
      <c r="E575">
        <v>22</v>
      </c>
      <c r="F575" t="s">
        <v>261</v>
      </c>
      <c r="G575" t="str">
        <f>VLOOKUP(F575,'Pond name mapping'!B$3:C$91,2,FALSE)</f>
        <v>Salisbury</v>
      </c>
      <c r="H575" s="8" t="s">
        <v>183</v>
      </c>
      <c r="I575" t="str">
        <f t="shared" si="8"/>
        <v>Salisbury#2023-07-22</v>
      </c>
      <c r="J575" t="s">
        <v>1254</v>
      </c>
    </row>
    <row r="576" spans="1:10">
      <c r="A576" t="s">
        <v>1255</v>
      </c>
      <c r="B576" s="6">
        <v>45157</v>
      </c>
      <c r="C576">
        <v>2023</v>
      </c>
      <c r="D576">
        <v>8</v>
      </c>
      <c r="E576">
        <v>19</v>
      </c>
      <c r="F576" t="s">
        <v>261</v>
      </c>
      <c r="G576" t="str">
        <f>VLOOKUP(F576,'Pond name mapping'!B$3:C$91,2,FALSE)</f>
        <v>Salisbury</v>
      </c>
      <c r="H576" s="8" t="s">
        <v>184</v>
      </c>
      <c r="I576" t="str">
        <f t="shared" si="8"/>
        <v>Salisbury#2023-08-19</v>
      </c>
      <c r="J576" t="s">
        <v>1256</v>
      </c>
    </row>
    <row r="577" spans="1:10">
      <c r="A577" t="s">
        <v>1257</v>
      </c>
      <c r="B577" s="6">
        <v>45185</v>
      </c>
      <c r="C577">
        <v>2023</v>
      </c>
      <c r="D577">
        <v>9</v>
      </c>
      <c r="E577">
        <v>16</v>
      </c>
      <c r="F577" t="s">
        <v>261</v>
      </c>
      <c r="G577" t="str">
        <f>VLOOKUP(F577,'Pond name mapping'!B$3:C$91,2,FALSE)</f>
        <v>Salisbury</v>
      </c>
      <c r="H577" s="8" t="s">
        <v>181</v>
      </c>
      <c r="I577" t="str">
        <f t="shared" si="8"/>
        <v>Salisbury#2023-09-16</v>
      </c>
      <c r="J577" t="s">
        <v>1258</v>
      </c>
    </row>
    <row r="578" spans="1:10">
      <c r="A578" t="s">
        <v>1259</v>
      </c>
      <c r="B578" s="6">
        <v>45185</v>
      </c>
      <c r="C578">
        <v>2023</v>
      </c>
      <c r="D578">
        <v>9</v>
      </c>
      <c r="E578">
        <v>16</v>
      </c>
      <c r="F578" t="s">
        <v>261</v>
      </c>
      <c r="G578" t="str">
        <f>VLOOKUP(F578,'Pond name mapping'!B$3:C$91,2,FALSE)</f>
        <v>Salisbury</v>
      </c>
      <c r="H578" s="8" t="s">
        <v>181</v>
      </c>
      <c r="I578" t="str">
        <f t="shared" si="8"/>
        <v>Salisbury#2023-09-16</v>
      </c>
      <c r="J578" t="s">
        <v>1260</v>
      </c>
    </row>
    <row r="579" spans="1:10">
      <c r="A579" t="s">
        <v>1261</v>
      </c>
      <c r="B579" s="6">
        <v>45201</v>
      </c>
      <c r="C579">
        <v>2023</v>
      </c>
      <c r="D579">
        <v>10</v>
      </c>
      <c r="E579">
        <v>2</v>
      </c>
      <c r="F579" t="s">
        <v>261</v>
      </c>
      <c r="G579" t="str">
        <f>VLOOKUP(F579,'Pond name mapping'!B$3:C$91,2,FALSE)</f>
        <v>Salisbury</v>
      </c>
      <c r="H579" s="8" t="s">
        <v>190</v>
      </c>
      <c r="I579" t="str">
        <f t="shared" si="8"/>
        <v>Salisbury#2023-10-02</v>
      </c>
      <c r="J579" t="s">
        <v>1262</v>
      </c>
    </row>
    <row r="580" spans="1:10">
      <c r="A580" t="s">
        <v>1263</v>
      </c>
      <c r="B580" s="6">
        <v>45213</v>
      </c>
      <c r="C580">
        <v>2023</v>
      </c>
      <c r="D580">
        <v>10</v>
      </c>
      <c r="E580">
        <v>14</v>
      </c>
      <c r="F580" t="s">
        <v>261</v>
      </c>
      <c r="G580" t="str">
        <f>VLOOKUP(F580,'Pond name mapping'!B$3:C$91,2,FALSE)</f>
        <v>Salisbury</v>
      </c>
      <c r="H580" s="8" t="s">
        <v>186</v>
      </c>
      <c r="I580" t="str">
        <f t="shared" si="8"/>
        <v>Salisbury#2023-10-14</v>
      </c>
      <c r="J580" t="s">
        <v>1264</v>
      </c>
    </row>
    <row r="581" spans="1:10">
      <c r="A581" t="s">
        <v>1265</v>
      </c>
      <c r="B581" s="6">
        <v>45035</v>
      </c>
      <c r="C581">
        <v>2023</v>
      </c>
      <c r="D581">
        <v>4</v>
      </c>
      <c r="E581">
        <v>19</v>
      </c>
      <c r="F581" t="s">
        <v>75</v>
      </c>
      <c r="G581" t="str">
        <f>VLOOKUP(F581,'Pond name mapping'!B$3:C$91,2,FALSE)</f>
        <v>Salisbury</v>
      </c>
      <c r="H581" s="8" t="s">
        <v>1266</v>
      </c>
      <c r="I581" t="str">
        <f t="shared" ref="I581:I644" si="9">CONCATENATE(G581,"#",H581)</f>
        <v>Salisbury#2023-04-19</v>
      </c>
      <c r="J581" t="s">
        <v>1267</v>
      </c>
    </row>
    <row r="582" spans="1:10">
      <c r="A582" t="s">
        <v>1268</v>
      </c>
      <c r="B582" s="6">
        <v>45045</v>
      </c>
      <c r="C582">
        <v>2023</v>
      </c>
      <c r="D582">
        <v>4</v>
      </c>
      <c r="E582">
        <v>29</v>
      </c>
      <c r="F582" t="s">
        <v>75</v>
      </c>
      <c r="G582" t="str">
        <f>VLOOKUP(F582,'Pond name mapping'!B$3:C$91,2,FALSE)</f>
        <v>Salisbury</v>
      </c>
      <c r="H582" s="8" t="s">
        <v>300</v>
      </c>
      <c r="I582" t="str">
        <f t="shared" si="9"/>
        <v>Salisbury#2023-04-29</v>
      </c>
      <c r="J582" t="s">
        <v>1269</v>
      </c>
    </row>
    <row r="583" spans="1:10">
      <c r="A583" t="s">
        <v>1270</v>
      </c>
      <c r="B583" s="6">
        <v>45073</v>
      </c>
      <c r="C583">
        <v>2023</v>
      </c>
      <c r="D583">
        <v>5</v>
      </c>
      <c r="E583">
        <v>27</v>
      </c>
      <c r="F583" t="s">
        <v>75</v>
      </c>
      <c r="G583" t="str">
        <f>VLOOKUP(F583,'Pond name mapping'!B$3:C$91,2,FALSE)</f>
        <v>Salisbury</v>
      </c>
      <c r="H583" s="8" t="s">
        <v>188</v>
      </c>
      <c r="I583" t="str">
        <f t="shared" si="9"/>
        <v>Salisbury#2023-05-27</v>
      </c>
      <c r="J583" t="s">
        <v>1271</v>
      </c>
    </row>
    <row r="584" spans="1:10">
      <c r="A584" t="s">
        <v>1272</v>
      </c>
      <c r="B584" s="6">
        <v>44366</v>
      </c>
      <c r="C584">
        <v>2021</v>
      </c>
      <c r="D584">
        <v>6</v>
      </c>
      <c r="E584">
        <v>19</v>
      </c>
      <c r="F584" t="s">
        <v>75</v>
      </c>
      <c r="G584" t="str">
        <f>VLOOKUP(F584,'Pond name mapping'!B$3:C$91,2,FALSE)</f>
        <v>Salisbury</v>
      </c>
      <c r="H584" s="8" t="s">
        <v>303</v>
      </c>
      <c r="I584" t="str">
        <f t="shared" si="9"/>
        <v>Salisbury#2021-06-19</v>
      </c>
      <c r="J584" t="s">
        <v>1272</v>
      </c>
    </row>
    <row r="585" spans="1:10">
      <c r="A585" t="s">
        <v>1273</v>
      </c>
      <c r="B585" s="6">
        <v>44683</v>
      </c>
      <c r="C585">
        <v>2022</v>
      </c>
      <c r="D585">
        <v>5</v>
      </c>
      <c r="E585">
        <v>2</v>
      </c>
      <c r="F585" t="s">
        <v>75</v>
      </c>
      <c r="G585" t="str">
        <f>VLOOKUP(F585,'Pond name mapping'!B$3:C$91,2,FALSE)</f>
        <v>Salisbury</v>
      </c>
      <c r="H585" s="8" t="s">
        <v>305</v>
      </c>
      <c r="I585" t="str">
        <f t="shared" si="9"/>
        <v>Salisbury#2022-05-02</v>
      </c>
      <c r="J585" t="s">
        <v>1273</v>
      </c>
    </row>
    <row r="586" spans="1:10">
      <c r="A586" t="s">
        <v>1274</v>
      </c>
      <c r="B586" s="6">
        <v>44702</v>
      </c>
      <c r="C586">
        <v>2022</v>
      </c>
      <c r="D586">
        <v>5</v>
      </c>
      <c r="E586">
        <v>21</v>
      </c>
      <c r="F586" t="s">
        <v>75</v>
      </c>
      <c r="G586" t="str">
        <f>VLOOKUP(F586,'Pond name mapping'!B$3:C$91,2,FALSE)</f>
        <v>Salisbury</v>
      </c>
      <c r="H586" s="8" t="s">
        <v>307</v>
      </c>
      <c r="I586" t="str">
        <f t="shared" si="9"/>
        <v>Salisbury#2022-05-21</v>
      </c>
      <c r="J586" t="s">
        <v>1274</v>
      </c>
    </row>
    <row r="587" spans="1:10">
      <c r="A587" t="s">
        <v>1275</v>
      </c>
      <c r="B587" s="6">
        <v>44718</v>
      </c>
      <c r="C587">
        <v>2022</v>
      </c>
      <c r="D587">
        <v>6</v>
      </c>
      <c r="E587">
        <v>6</v>
      </c>
      <c r="F587" t="s">
        <v>75</v>
      </c>
      <c r="G587" t="str">
        <f>VLOOKUP(F587,'Pond name mapping'!B$3:C$91,2,FALSE)</f>
        <v>Salisbury</v>
      </c>
      <c r="H587" s="8" t="s">
        <v>309</v>
      </c>
      <c r="I587" t="str">
        <f t="shared" si="9"/>
        <v>Salisbury#2022-06-06</v>
      </c>
      <c r="J587" t="s">
        <v>1275</v>
      </c>
    </row>
    <row r="588" spans="1:10">
      <c r="A588" t="s">
        <v>1276</v>
      </c>
      <c r="B588" s="6">
        <v>44730</v>
      </c>
      <c r="C588">
        <v>2022</v>
      </c>
      <c r="D588">
        <v>6</v>
      </c>
      <c r="E588">
        <v>18</v>
      </c>
      <c r="F588" t="s">
        <v>75</v>
      </c>
      <c r="G588" t="str">
        <f>VLOOKUP(F588,'Pond name mapping'!B$3:C$91,2,FALSE)</f>
        <v>Salisbury</v>
      </c>
      <c r="H588" s="8" t="s">
        <v>311</v>
      </c>
      <c r="I588" t="str">
        <f t="shared" si="9"/>
        <v>Salisbury#2022-06-18</v>
      </c>
      <c r="J588" t="s">
        <v>1276</v>
      </c>
    </row>
    <row r="589" spans="1:10">
      <c r="A589" t="s">
        <v>1277</v>
      </c>
      <c r="B589" s="6">
        <v>44747</v>
      </c>
      <c r="C589">
        <v>2022</v>
      </c>
      <c r="D589">
        <v>7</v>
      </c>
      <c r="E589">
        <v>5</v>
      </c>
      <c r="F589" t="s">
        <v>75</v>
      </c>
      <c r="G589" t="str">
        <f>VLOOKUP(F589,'Pond name mapping'!B$3:C$91,2,FALSE)</f>
        <v>Salisbury</v>
      </c>
      <c r="H589" s="8" t="s">
        <v>313</v>
      </c>
      <c r="I589" t="str">
        <f t="shared" si="9"/>
        <v>Salisbury#2022-07-05</v>
      </c>
      <c r="J589" t="s">
        <v>1278</v>
      </c>
    </row>
    <row r="590" spans="1:10">
      <c r="A590" t="s">
        <v>1279</v>
      </c>
      <c r="B590" s="6">
        <v>44758</v>
      </c>
      <c r="C590">
        <v>2022</v>
      </c>
      <c r="D590">
        <v>7</v>
      </c>
      <c r="E590">
        <v>16</v>
      </c>
      <c r="F590" t="s">
        <v>75</v>
      </c>
      <c r="G590" t="str">
        <f>VLOOKUP(F590,'Pond name mapping'!B$3:C$91,2,FALSE)</f>
        <v>Salisbury</v>
      </c>
      <c r="H590" s="8" t="s">
        <v>315</v>
      </c>
      <c r="I590" t="str">
        <f t="shared" si="9"/>
        <v>Salisbury#2022-07-16</v>
      </c>
      <c r="J590" t="s">
        <v>1280</v>
      </c>
    </row>
    <row r="591" spans="1:10">
      <c r="A591" t="s">
        <v>1281</v>
      </c>
      <c r="B591" s="6">
        <v>44774</v>
      </c>
      <c r="C591">
        <v>2022</v>
      </c>
      <c r="D591">
        <v>8</v>
      </c>
      <c r="E591">
        <v>1</v>
      </c>
      <c r="F591" t="s">
        <v>75</v>
      </c>
      <c r="G591" t="str">
        <f>VLOOKUP(F591,'Pond name mapping'!B$3:C$91,2,FALSE)</f>
        <v>Salisbury</v>
      </c>
      <c r="H591" s="8" t="s">
        <v>317</v>
      </c>
      <c r="I591" t="str">
        <f t="shared" si="9"/>
        <v>Salisbury#2022-08-01</v>
      </c>
      <c r="J591" t="s">
        <v>1282</v>
      </c>
    </row>
    <row r="592" spans="1:10">
      <c r="A592" t="s">
        <v>1283</v>
      </c>
      <c r="B592" s="6">
        <v>44816</v>
      </c>
      <c r="C592">
        <v>2022</v>
      </c>
      <c r="D592">
        <v>9</v>
      </c>
      <c r="E592">
        <v>12</v>
      </c>
      <c r="F592" t="s">
        <v>75</v>
      </c>
      <c r="G592" t="str">
        <f>VLOOKUP(F592,'Pond name mapping'!B$3:C$91,2,FALSE)</f>
        <v>Salisbury</v>
      </c>
      <c r="H592" s="8" t="s">
        <v>320</v>
      </c>
      <c r="I592" t="str">
        <f t="shared" si="9"/>
        <v>Salisbury#2022-09-12</v>
      </c>
      <c r="J592" t="s">
        <v>1284</v>
      </c>
    </row>
    <row r="593" spans="1:10">
      <c r="A593" t="s">
        <v>1285</v>
      </c>
      <c r="B593" s="6">
        <v>44828</v>
      </c>
      <c r="C593">
        <v>2022</v>
      </c>
      <c r="D593">
        <v>9</v>
      </c>
      <c r="E593">
        <v>24</v>
      </c>
      <c r="F593" t="s">
        <v>75</v>
      </c>
      <c r="G593" t="str">
        <f>VLOOKUP(F593,'Pond name mapping'!B$3:C$91,2,FALSE)</f>
        <v>Salisbury</v>
      </c>
      <c r="H593" s="8" t="s">
        <v>324</v>
      </c>
      <c r="I593" t="str">
        <f t="shared" si="9"/>
        <v>Salisbury#2022-09-24</v>
      </c>
      <c r="J593" t="s">
        <v>1286</v>
      </c>
    </row>
    <row r="594" spans="1:10">
      <c r="A594" t="s">
        <v>1287</v>
      </c>
      <c r="B594" s="6">
        <v>44837</v>
      </c>
      <c r="C594">
        <v>2022</v>
      </c>
      <c r="D594">
        <v>10</v>
      </c>
      <c r="E594">
        <v>3</v>
      </c>
      <c r="F594" t="s">
        <v>75</v>
      </c>
      <c r="G594" t="str">
        <f>VLOOKUP(F594,'Pond name mapping'!B$3:C$91,2,FALSE)</f>
        <v>Salisbury</v>
      </c>
      <c r="H594" s="8" t="s">
        <v>326</v>
      </c>
      <c r="I594" t="str">
        <f t="shared" si="9"/>
        <v>Salisbury#2022-10-03</v>
      </c>
      <c r="J594" t="s">
        <v>1288</v>
      </c>
    </row>
    <row r="595" spans="1:10">
      <c r="A595" t="s">
        <v>1289</v>
      </c>
      <c r="B595" s="6">
        <v>44464</v>
      </c>
      <c r="C595">
        <v>2021</v>
      </c>
      <c r="D595">
        <v>9</v>
      </c>
      <c r="E595">
        <v>25</v>
      </c>
      <c r="F595" t="s">
        <v>75</v>
      </c>
      <c r="G595" t="str">
        <f>VLOOKUP(F595,'Pond name mapping'!B$3:C$91,2,FALSE)</f>
        <v>Salisbury</v>
      </c>
      <c r="H595" s="8" t="s">
        <v>329</v>
      </c>
      <c r="I595" t="str">
        <f t="shared" si="9"/>
        <v>Salisbury#2021-09-25</v>
      </c>
      <c r="J595" t="s">
        <v>1289</v>
      </c>
    </row>
    <row r="596" spans="1:10">
      <c r="A596" t="s">
        <v>1290</v>
      </c>
      <c r="B596" s="6">
        <v>44464</v>
      </c>
      <c r="C596">
        <v>2021</v>
      </c>
      <c r="D596">
        <v>9</v>
      </c>
      <c r="E596">
        <v>25</v>
      </c>
      <c r="F596" t="s">
        <v>75</v>
      </c>
      <c r="G596" t="str">
        <f>VLOOKUP(F596,'Pond name mapping'!B$3:C$91,2,FALSE)</f>
        <v>Salisbury</v>
      </c>
      <c r="H596" s="8" t="s">
        <v>329</v>
      </c>
      <c r="I596" t="str">
        <f t="shared" si="9"/>
        <v>Salisbury#2021-09-25</v>
      </c>
      <c r="J596" t="s">
        <v>1290</v>
      </c>
    </row>
    <row r="597" spans="1:10">
      <c r="A597" t="s">
        <v>1291</v>
      </c>
      <c r="B597" s="6">
        <v>44485</v>
      </c>
      <c r="C597">
        <v>2021</v>
      </c>
      <c r="D597">
        <v>10</v>
      </c>
      <c r="E597">
        <v>16</v>
      </c>
      <c r="F597" t="s">
        <v>75</v>
      </c>
      <c r="G597" t="str">
        <f>VLOOKUP(F597,'Pond name mapping'!B$3:C$91,2,FALSE)</f>
        <v>Salisbury</v>
      </c>
      <c r="H597" s="8" t="s">
        <v>331</v>
      </c>
      <c r="I597" t="str">
        <f t="shared" si="9"/>
        <v>Salisbury#2021-10-16</v>
      </c>
      <c r="J597" t="s">
        <v>1291</v>
      </c>
    </row>
    <row r="598" spans="1:10">
      <c r="A598" t="s">
        <v>1292</v>
      </c>
      <c r="B598" s="6">
        <v>44485</v>
      </c>
      <c r="C598">
        <v>2021</v>
      </c>
      <c r="D598">
        <v>10</v>
      </c>
      <c r="E598">
        <v>16</v>
      </c>
      <c r="F598" t="s">
        <v>75</v>
      </c>
      <c r="G598" t="str">
        <f>VLOOKUP(F598,'Pond name mapping'!B$3:C$91,2,FALSE)</f>
        <v>Salisbury</v>
      </c>
      <c r="H598" s="8" t="s">
        <v>331</v>
      </c>
      <c r="I598" t="str">
        <f t="shared" si="9"/>
        <v>Salisbury#2021-10-16</v>
      </c>
      <c r="J598" t="s">
        <v>1292</v>
      </c>
    </row>
    <row r="599" spans="1:10">
      <c r="A599" t="s">
        <v>1293</v>
      </c>
      <c r="B599" s="6">
        <v>44683</v>
      </c>
      <c r="C599">
        <v>2022</v>
      </c>
      <c r="D599">
        <v>5</v>
      </c>
      <c r="E599">
        <v>2</v>
      </c>
      <c r="F599" t="s">
        <v>78</v>
      </c>
      <c r="G599" t="str">
        <f>VLOOKUP(F599,'Pond name mapping'!B$3:C$91,2,FALSE)</f>
        <v>Singletary</v>
      </c>
      <c r="H599" s="8" t="s">
        <v>305</v>
      </c>
      <c r="I599" t="str">
        <f t="shared" si="9"/>
        <v>Singletary#2022-05-02</v>
      </c>
      <c r="J599" t="s">
        <v>1293</v>
      </c>
    </row>
    <row r="600" spans="1:10">
      <c r="A600" t="s">
        <v>1294</v>
      </c>
      <c r="B600" s="6">
        <v>44702</v>
      </c>
      <c r="C600">
        <v>2022</v>
      </c>
      <c r="D600">
        <v>5</v>
      </c>
      <c r="E600">
        <v>21</v>
      </c>
      <c r="F600" t="s">
        <v>78</v>
      </c>
      <c r="G600" t="str">
        <f>VLOOKUP(F600,'Pond name mapping'!B$3:C$91,2,FALSE)</f>
        <v>Singletary</v>
      </c>
      <c r="H600" s="8" t="s">
        <v>307</v>
      </c>
      <c r="I600" t="str">
        <f t="shared" si="9"/>
        <v>Singletary#2022-05-21</v>
      </c>
      <c r="J600" t="s">
        <v>1294</v>
      </c>
    </row>
    <row r="601" spans="1:10">
      <c r="A601" t="s">
        <v>1295</v>
      </c>
      <c r="B601" s="6">
        <v>44718</v>
      </c>
      <c r="C601">
        <v>2022</v>
      </c>
      <c r="D601">
        <v>6</v>
      </c>
      <c r="E601">
        <v>6</v>
      </c>
      <c r="F601" t="s">
        <v>78</v>
      </c>
      <c r="G601" t="str">
        <f>VLOOKUP(F601,'Pond name mapping'!B$3:C$91,2,FALSE)</f>
        <v>Singletary</v>
      </c>
      <c r="H601" s="8" t="s">
        <v>309</v>
      </c>
      <c r="I601" t="str">
        <f t="shared" si="9"/>
        <v>Singletary#2022-06-06</v>
      </c>
      <c r="J601" t="s">
        <v>1295</v>
      </c>
    </row>
    <row r="602" spans="1:10">
      <c r="A602" t="s">
        <v>1296</v>
      </c>
      <c r="B602" s="6">
        <v>44730</v>
      </c>
      <c r="C602">
        <v>2022</v>
      </c>
      <c r="D602">
        <v>6</v>
      </c>
      <c r="E602">
        <v>18</v>
      </c>
      <c r="F602" t="s">
        <v>78</v>
      </c>
      <c r="G602" t="str">
        <f>VLOOKUP(F602,'Pond name mapping'!B$3:C$91,2,FALSE)</f>
        <v>Singletary</v>
      </c>
      <c r="H602" s="8" t="s">
        <v>311</v>
      </c>
      <c r="I602" t="str">
        <f t="shared" si="9"/>
        <v>Singletary#2022-06-18</v>
      </c>
      <c r="J602" t="s">
        <v>1296</v>
      </c>
    </row>
    <row r="603" spans="1:10">
      <c r="A603" t="s">
        <v>1297</v>
      </c>
      <c r="B603" s="6">
        <v>44747</v>
      </c>
      <c r="C603">
        <v>2022</v>
      </c>
      <c r="D603">
        <v>7</v>
      </c>
      <c r="E603">
        <v>5</v>
      </c>
      <c r="F603" t="s">
        <v>78</v>
      </c>
      <c r="G603" t="str">
        <f>VLOOKUP(F603,'Pond name mapping'!B$3:C$91,2,FALSE)</f>
        <v>Singletary</v>
      </c>
      <c r="H603" s="8" t="s">
        <v>313</v>
      </c>
      <c r="I603" t="str">
        <f t="shared" si="9"/>
        <v>Singletary#2022-07-05</v>
      </c>
      <c r="J603" t="s">
        <v>1297</v>
      </c>
    </row>
    <row r="604" spans="1:10">
      <c r="A604" t="s">
        <v>1298</v>
      </c>
      <c r="B604" s="6">
        <v>44758</v>
      </c>
      <c r="C604">
        <v>2022</v>
      </c>
      <c r="D604">
        <v>7</v>
      </c>
      <c r="E604">
        <v>16</v>
      </c>
      <c r="F604" t="s">
        <v>78</v>
      </c>
      <c r="G604" t="str">
        <f>VLOOKUP(F604,'Pond name mapping'!B$3:C$91,2,FALSE)</f>
        <v>Singletary</v>
      </c>
      <c r="H604" s="8" t="s">
        <v>315</v>
      </c>
      <c r="I604" t="str">
        <f t="shared" si="9"/>
        <v>Singletary#2022-07-16</v>
      </c>
      <c r="J604" t="s">
        <v>1298</v>
      </c>
    </row>
    <row r="605" spans="1:10">
      <c r="A605" t="s">
        <v>1299</v>
      </c>
      <c r="B605" s="6">
        <v>44774</v>
      </c>
      <c r="C605">
        <v>2022</v>
      </c>
      <c r="D605">
        <v>8</v>
      </c>
      <c r="E605">
        <v>1</v>
      </c>
      <c r="F605" t="s">
        <v>78</v>
      </c>
      <c r="G605" t="str">
        <f>VLOOKUP(F605,'Pond name mapping'!B$3:C$91,2,FALSE)</f>
        <v>Singletary</v>
      </c>
      <c r="H605" s="8" t="s">
        <v>317</v>
      </c>
      <c r="I605" t="str">
        <f t="shared" si="9"/>
        <v>Singletary#2022-08-01</v>
      </c>
      <c r="J605" t="s">
        <v>1300</v>
      </c>
    </row>
    <row r="606" spans="1:10">
      <c r="A606" t="s">
        <v>1301</v>
      </c>
      <c r="B606" s="6">
        <v>44702</v>
      </c>
      <c r="C606">
        <v>2022</v>
      </c>
      <c r="D606">
        <v>5</v>
      </c>
      <c r="E606">
        <v>21</v>
      </c>
      <c r="F606" t="s">
        <v>262</v>
      </c>
      <c r="G606" t="str">
        <f>VLOOKUP(F606,'Pond name mapping'!B$3:C$91,2,FALSE)</f>
        <v>Sterling</v>
      </c>
      <c r="H606" s="8" t="s">
        <v>307</v>
      </c>
      <c r="I606" t="str">
        <f t="shared" si="9"/>
        <v>Sterling#2022-05-21</v>
      </c>
      <c r="J606" t="s">
        <v>1301</v>
      </c>
    </row>
    <row r="607" spans="1:10">
      <c r="A607" t="s">
        <v>1302</v>
      </c>
      <c r="B607" s="6">
        <v>44730</v>
      </c>
      <c r="C607">
        <v>2022</v>
      </c>
      <c r="D607">
        <v>6</v>
      </c>
      <c r="E607">
        <v>18</v>
      </c>
      <c r="F607" t="s">
        <v>262</v>
      </c>
      <c r="G607" t="str">
        <f>VLOOKUP(F607,'Pond name mapping'!B$3:C$91,2,FALSE)</f>
        <v>Sterling</v>
      </c>
      <c r="H607" s="8" t="s">
        <v>311</v>
      </c>
      <c r="I607" t="str">
        <f t="shared" si="9"/>
        <v>Sterling#2022-06-18</v>
      </c>
      <c r="J607" t="s">
        <v>1302</v>
      </c>
    </row>
    <row r="608" spans="1:10">
      <c r="A608" t="s">
        <v>1303</v>
      </c>
      <c r="B608" s="6">
        <v>44849</v>
      </c>
      <c r="C608">
        <v>2022</v>
      </c>
      <c r="D608">
        <v>10</v>
      </c>
      <c r="E608">
        <v>15</v>
      </c>
      <c r="F608" t="s">
        <v>262</v>
      </c>
      <c r="G608" t="str">
        <f>VLOOKUP(F608,'Pond name mapping'!B$3:C$91,2,FALSE)</f>
        <v>Sterling</v>
      </c>
      <c r="H608" s="8" t="s">
        <v>379</v>
      </c>
      <c r="I608" t="str">
        <f t="shared" si="9"/>
        <v>Sterling#2022-10-15</v>
      </c>
      <c r="J608" t="s">
        <v>1303</v>
      </c>
    </row>
    <row r="609" spans="1:10">
      <c r="A609" t="s">
        <v>1304</v>
      </c>
      <c r="B609" s="6">
        <v>45061</v>
      </c>
      <c r="C609">
        <v>2023</v>
      </c>
      <c r="D609">
        <v>5</v>
      </c>
      <c r="E609">
        <v>15</v>
      </c>
      <c r="F609" t="s">
        <v>263</v>
      </c>
      <c r="G609" t="str">
        <f>VLOOKUP(F609,'Pond name mapping'!B$3:C$91,2,FALSE)</f>
        <v>Stevens</v>
      </c>
      <c r="H609" s="8" t="s">
        <v>187</v>
      </c>
      <c r="I609" t="str">
        <f t="shared" si="9"/>
        <v>Stevens#2023-05-15</v>
      </c>
      <c r="J609" t="s">
        <v>1305</v>
      </c>
    </row>
    <row r="610" spans="1:10">
      <c r="A610" t="s">
        <v>1306</v>
      </c>
      <c r="B610" s="6">
        <v>45101</v>
      </c>
      <c r="C610">
        <v>2023</v>
      </c>
      <c r="D610">
        <v>6</v>
      </c>
      <c r="E610">
        <v>24</v>
      </c>
      <c r="F610" t="s">
        <v>263</v>
      </c>
      <c r="G610" t="str">
        <f>VLOOKUP(F610,'Pond name mapping'!B$3:C$91,2,FALSE)</f>
        <v>Stevens</v>
      </c>
      <c r="H610" s="8" t="s">
        <v>283</v>
      </c>
      <c r="I610" t="str">
        <f t="shared" si="9"/>
        <v>Stevens#2023-06-24</v>
      </c>
      <c r="J610" t="s">
        <v>1307</v>
      </c>
    </row>
    <row r="611" spans="1:10">
      <c r="A611" t="s">
        <v>1308</v>
      </c>
      <c r="B611" s="6">
        <v>45117</v>
      </c>
      <c r="C611">
        <v>2023</v>
      </c>
      <c r="D611">
        <v>7</v>
      </c>
      <c r="E611">
        <v>10</v>
      </c>
      <c r="F611" t="s">
        <v>263</v>
      </c>
      <c r="G611" t="str">
        <f>VLOOKUP(F611,'Pond name mapping'!B$3:C$91,2,FALSE)</f>
        <v>Stevens</v>
      </c>
      <c r="H611" s="8" t="s">
        <v>182</v>
      </c>
      <c r="I611" t="str">
        <f t="shared" si="9"/>
        <v>Stevens#2023-07-10</v>
      </c>
      <c r="J611" t="s">
        <v>1309</v>
      </c>
    </row>
    <row r="612" spans="1:10">
      <c r="A612" t="s">
        <v>1310</v>
      </c>
      <c r="B612" s="6">
        <v>45129</v>
      </c>
      <c r="C612">
        <v>2023</v>
      </c>
      <c r="D612">
        <v>7</v>
      </c>
      <c r="E612">
        <v>22</v>
      </c>
      <c r="F612" t="s">
        <v>263</v>
      </c>
      <c r="G612" t="str">
        <f>VLOOKUP(F612,'Pond name mapping'!B$3:C$91,2,FALSE)</f>
        <v>Stevens</v>
      </c>
      <c r="H612" s="8" t="s">
        <v>183</v>
      </c>
      <c r="I612" t="str">
        <f t="shared" si="9"/>
        <v>Stevens#2023-07-22</v>
      </c>
      <c r="J612" t="s">
        <v>1311</v>
      </c>
    </row>
    <row r="613" spans="1:10">
      <c r="A613" t="s">
        <v>1312</v>
      </c>
      <c r="B613" s="6">
        <v>45145</v>
      </c>
      <c r="C613">
        <v>2023</v>
      </c>
      <c r="D613">
        <v>8</v>
      </c>
      <c r="E613">
        <v>7</v>
      </c>
      <c r="F613" t="s">
        <v>263</v>
      </c>
      <c r="G613" t="str">
        <f>VLOOKUP(F613,'Pond name mapping'!B$3:C$91,2,FALSE)</f>
        <v>Stevens</v>
      </c>
      <c r="H613" s="8" t="s">
        <v>180</v>
      </c>
      <c r="I613" t="str">
        <f t="shared" si="9"/>
        <v>Stevens#2023-08-07</v>
      </c>
      <c r="J613" t="s">
        <v>1313</v>
      </c>
    </row>
    <row r="614" spans="1:10">
      <c r="A614" t="s">
        <v>1314</v>
      </c>
      <c r="B614" s="6">
        <v>45157</v>
      </c>
      <c r="C614">
        <v>2023</v>
      </c>
      <c r="D614">
        <v>8</v>
      </c>
      <c r="E614">
        <v>19</v>
      </c>
      <c r="F614" t="s">
        <v>263</v>
      </c>
      <c r="G614" t="str">
        <f>VLOOKUP(F614,'Pond name mapping'!B$3:C$91,2,FALSE)</f>
        <v>Stevens</v>
      </c>
      <c r="H614" s="8" t="s">
        <v>184</v>
      </c>
      <c r="I614" t="str">
        <f t="shared" si="9"/>
        <v>Stevens#2023-08-19</v>
      </c>
      <c r="J614" t="s">
        <v>1315</v>
      </c>
    </row>
    <row r="615" spans="1:10">
      <c r="A615" t="s">
        <v>1316</v>
      </c>
      <c r="B615" s="6">
        <v>45174</v>
      </c>
      <c r="C615">
        <v>2023</v>
      </c>
      <c r="D615">
        <v>9</v>
      </c>
      <c r="E615">
        <v>5</v>
      </c>
      <c r="F615" t="s">
        <v>263</v>
      </c>
      <c r="G615" t="str">
        <f>VLOOKUP(F615,'Pond name mapping'!B$3:C$91,2,FALSE)</f>
        <v>Stevens</v>
      </c>
      <c r="H615" s="8" t="s">
        <v>185</v>
      </c>
      <c r="I615" t="str">
        <f t="shared" si="9"/>
        <v>Stevens#2023-09-05</v>
      </c>
      <c r="J615" t="s">
        <v>1317</v>
      </c>
    </row>
    <row r="616" spans="1:10">
      <c r="A616" t="s">
        <v>1318</v>
      </c>
      <c r="B616" s="6">
        <v>45185</v>
      </c>
      <c r="C616">
        <v>2023</v>
      </c>
      <c r="D616">
        <v>9</v>
      </c>
      <c r="E616">
        <v>16</v>
      </c>
      <c r="F616" t="s">
        <v>263</v>
      </c>
      <c r="G616" t="str">
        <f>VLOOKUP(F616,'Pond name mapping'!B$3:C$91,2,FALSE)</f>
        <v>Stevens</v>
      </c>
      <c r="H616" s="8" t="s">
        <v>181</v>
      </c>
      <c r="I616" t="str">
        <f t="shared" si="9"/>
        <v>Stevens#2023-09-16</v>
      </c>
      <c r="J616" t="s">
        <v>1319</v>
      </c>
    </row>
    <row r="617" spans="1:10">
      <c r="A617" t="s">
        <v>1320</v>
      </c>
      <c r="B617" s="6">
        <v>45201</v>
      </c>
      <c r="C617">
        <v>2023</v>
      </c>
      <c r="D617">
        <v>10</v>
      </c>
      <c r="E617">
        <v>2</v>
      </c>
      <c r="F617" t="s">
        <v>263</v>
      </c>
      <c r="G617" t="str">
        <f>VLOOKUP(F617,'Pond name mapping'!B$3:C$91,2,FALSE)</f>
        <v>Stevens</v>
      </c>
      <c r="H617" s="8" t="s">
        <v>190</v>
      </c>
      <c r="I617" t="str">
        <f t="shared" si="9"/>
        <v>Stevens#2023-10-02</v>
      </c>
      <c r="J617" t="s">
        <v>1321</v>
      </c>
    </row>
    <row r="618" spans="1:10">
      <c r="A618" t="s">
        <v>1322</v>
      </c>
      <c r="B618" s="6">
        <v>45213</v>
      </c>
      <c r="C618">
        <v>2023</v>
      </c>
      <c r="D618">
        <v>10</v>
      </c>
      <c r="E618">
        <v>14</v>
      </c>
      <c r="F618" t="s">
        <v>263</v>
      </c>
      <c r="G618" t="str">
        <f>VLOOKUP(F618,'Pond name mapping'!B$3:C$91,2,FALSE)</f>
        <v>Stevens</v>
      </c>
      <c r="H618" s="8" t="s">
        <v>186</v>
      </c>
      <c r="I618" t="str">
        <f t="shared" si="9"/>
        <v>Stevens#2023-10-14</v>
      </c>
      <c r="J618" t="s">
        <v>1323</v>
      </c>
    </row>
    <row r="619" spans="1:10">
      <c r="A619" t="s">
        <v>1324</v>
      </c>
      <c r="B619" s="6">
        <v>45045</v>
      </c>
      <c r="C619">
        <v>2023</v>
      </c>
      <c r="D619">
        <v>4</v>
      </c>
      <c r="E619">
        <v>29</v>
      </c>
      <c r="F619" t="s">
        <v>80</v>
      </c>
      <c r="G619" t="str">
        <f>VLOOKUP(F619,'Pond name mapping'!B$3:C$91,2,FALSE)</f>
        <v>Stevens</v>
      </c>
      <c r="H619" s="8" t="s">
        <v>300</v>
      </c>
      <c r="I619" t="str">
        <f t="shared" si="9"/>
        <v>Stevens#2023-04-29</v>
      </c>
      <c r="J619" t="s">
        <v>1325</v>
      </c>
    </row>
    <row r="620" spans="1:10">
      <c r="A620" t="s">
        <v>1326</v>
      </c>
      <c r="B620" s="6">
        <v>45073</v>
      </c>
      <c r="C620">
        <v>2023</v>
      </c>
      <c r="D620">
        <v>5</v>
      </c>
      <c r="E620">
        <v>27</v>
      </c>
      <c r="F620" t="s">
        <v>80</v>
      </c>
      <c r="G620" t="str">
        <f>VLOOKUP(F620,'Pond name mapping'!B$3:C$91,2,FALSE)</f>
        <v>Stevens</v>
      </c>
      <c r="H620" s="8" t="s">
        <v>188</v>
      </c>
      <c r="I620" t="str">
        <f t="shared" si="9"/>
        <v>Stevens#2023-05-27</v>
      </c>
      <c r="J620" t="s">
        <v>1327</v>
      </c>
    </row>
    <row r="621" spans="1:10">
      <c r="A621" t="s">
        <v>1328</v>
      </c>
      <c r="B621" s="6">
        <v>45446</v>
      </c>
      <c r="C621">
        <v>2024</v>
      </c>
      <c r="D621">
        <v>6</v>
      </c>
      <c r="E621">
        <v>3</v>
      </c>
      <c r="F621" t="s">
        <v>80</v>
      </c>
      <c r="G621" t="str">
        <f>VLOOKUP(F621,'Pond name mapping'!B$3:C$91,2,FALSE)</f>
        <v>Stevens</v>
      </c>
      <c r="H621" s="8" t="s">
        <v>334</v>
      </c>
      <c r="I621" t="str">
        <f t="shared" si="9"/>
        <v>Stevens#2024-06-03</v>
      </c>
      <c r="J621" t="s">
        <v>1329</v>
      </c>
    </row>
    <row r="622" spans="1:10">
      <c r="A622" t="s">
        <v>1330</v>
      </c>
      <c r="B622" s="6">
        <v>45089</v>
      </c>
      <c r="C622">
        <v>2023</v>
      </c>
      <c r="D622">
        <v>6</v>
      </c>
      <c r="E622">
        <v>12</v>
      </c>
      <c r="F622" t="s">
        <v>80</v>
      </c>
      <c r="G622" t="str">
        <f>VLOOKUP(F622,'Pond name mapping'!B$3:C$91,2,FALSE)</f>
        <v>Stevens</v>
      </c>
      <c r="H622" s="8" t="s">
        <v>189</v>
      </c>
      <c r="I622" t="str">
        <f t="shared" si="9"/>
        <v>Stevens#2023-06-12</v>
      </c>
      <c r="J622" t="s">
        <v>1331</v>
      </c>
    </row>
    <row r="623" spans="1:10">
      <c r="A623" t="s">
        <v>1332</v>
      </c>
      <c r="B623" s="6">
        <v>44683</v>
      </c>
      <c r="C623">
        <v>2022</v>
      </c>
      <c r="D623">
        <v>5</v>
      </c>
      <c r="E623">
        <v>2</v>
      </c>
      <c r="F623" t="s">
        <v>80</v>
      </c>
      <c r="G623" t="str">
        <f>VLOOKUP(F623,'Pond name mapping'!B$3:C$91,2,FALSE)</f>
        <v>Stevens</v>
      </c>
      <c r="H623" s="8" t="s">
        <v>305</v>
      </c>
      <c r="I623" t="str">
        <f t="shared" si="9"/>
        <v>Stevens#2022-05-02</v>
      </c>
      <c r="J623" t="s">
        <v>1332</v>
      </c>
    </row>
    <row r="624" spans="1:10">
      <c r="A624" t="s">
        <v>1333</v>
      </c>
      <c r="B624" s="6">
        <v>44702</v>
      </c>
      <c r="C624">
        <v>2022</v>
      </c>
      <c r="D624">
        <v>5</v>
      </c>
      <c r="E624">
        <v>21</v>
      </c>
      <c r="F624" t="s">
        <v>80</v>
      </c>
      <c r="G624" t="str">
        <f>VLOOKUP(F624,'Pond name mapping'!B$3:C$91,2,FALSE)</f>
        <v>Stevens</v>
      </c>
      <c r="H624" s="8" t="s">
        <v>307</v>
      </c>
      <c r="I624" t="str">
        <f t="shared" si="9"/>
        <v>Stevens#2022-05-21</v>
      </c>
      <c r="J624" t="s">
        <v>1333</v>
      </c>
    </row>
    <row r="625" spans="1:10">
      <c r="A625" t="s">
        <v>1334</v>
      </c>
      <c r="B625" s="6">
        <v>44718</v>
      </c>
      <c r="C625">
        <v>2022</v>
      </c>
      <c r="D625">
        <v>6</v>
      </c>
      <c r="E625">
        <v>6</v>
      </c>
      <c r="F625" t="s">
        <v>80</v>
      </c>
      <c r="G625" t="str">
        <f>VLOOKUP(F625,'Pond name mapping'!B$3:C$91,2,FALSE)</f>
        <v>Stevens</v>
      </c>
      <c r="H625" s="8" t="s">
        <v>309</v>
      </c>
      <c r="I625" t="str">
        <f t="shared" si="9"/>
        <v>Stevens#2022-06-06</v>
      </c>
      <c r="J625" t="s">
        <v>1334</v>
      </c>
    </row>
    <row r="626" spans="1:10">
      <c r="A626" t="s">
        <v>1335</v>
      </c>
      <c r="B626" s="6">
        <v>44730</v>
      </c>
      <c r="C626">
        <v>2022</v>
      </c>
      <c r="D626">
        <v>6</v>
      </c>
      <c r="E626">
        <v>18</v>
      </c>
      <c r="F626" t="s">
        <v>80</v>
      </c>
      <c r="G626" t="str">
        <f>VLOOKUP(F626,'Pond name mapping'!B$3:C$91,2,FALSE)</f>
        <v>Stevens</v>
      </c>
      <c r="H626" s="8" t="s">
        <v>311</v>
      </c>
      <c r="I626" t="str">
        <f t="shared" si="9"/>
        <v>Stevens#2022-06-18</v>
      </c>
      <c r="J626" t="s">
        <v>1335</v>
      </c>
    </row>
    <row r="627" spans="1:10">
      <c r="A627" t="s">
        <v>1336</v>
      </c>
      <c r="B627" s="6">
        <v>44747</v>
      </c>
      <c r="C627">
        <v>2022</v>
      </c>
      <c r="D627">
        <v>7</v>
      </c>
      <c r="E627">
        <v>5</v>
      </c>
      <c r="F627" t="s">
        <v>80</v>
      </c>
      <c r="G627" t="str">
        <f>VLOOKUP(F627,'Pond name mapping'!B$3:C$91,2,FALSE)</f>
        <v>Stevens</v>
      </c>
      <c r="H627" s="8" t="s">
        <v>313</v>
      </c>
      <c r="I627" t="str">
        <f t="shared" si="9"/>
        <v>Stevens#2022-07-05</v>
      </c>
      <c r="J627" t="s">
        <v>1336</v>
      </c>
    </row>
    <row r="628" spans="1:10">
      <c r="A628" t="s">
        <v>1337</v>
      </c>
      <c r="B628" s="6">
        <v>44774</v>
      </c>
      <c r="C628">
        <v>2022</v>
      </c>
      <c r="D628">
        <v>8</v>
      </c>
      <c r="E628">
        <v>1</v>
      </c>
      <c r="F628" t="s">
        <v>80</v>
      </c>
      <c r="G628" t="str">
        <f>VLOOKUP(F628,'Pond name mapping'!B$3:C$91,2,FALSE)</f>
        <v>Stevens</v>
      </c>
      <c r="H628" s="8" t="s">
        <v>317</v>
      </c>
      <c r="I628" t="str">
        <f t="shared" si="9"/>
        <v>Stevens#2022-08-01</v>
      </c>
      <c r="J628" t="s">
        <v>1337</v>
      </c>
    </row>
    <row r="629" spans="1:10">
      <c r="A629" t="s">
        <v>1338</v>
      </c>
      <c r="B629" s="6">
        <v>44800</v>
      </c>
      <c r="C629">
        <v>2022</v>
      </c>
      <c r="D629">
        <v>8</v>
      </c>
      <c r="E629">
        <v>27</v>
      </c>
      <c r="F629" t="s">
        <v>80</v>
      </c>
      <c r="G629" t="str">
        <f>VLOOKUP(F629,'Pond name mapping'!B$3:C$91,2,FALSE)</f>
        <v>Stevens</v>
      </c>
      <c r="H629" s="8" t="s">
        <v>376</v>
      </c>
      <c r="I629" t="str">
        <f t="shared" si="9"/>
        <v>Stevens#2022-08-27</v>
      </c>
      <c r="J629" t="s">
        <v>1338</v>
      </c>
    </row>
    <row r="630" spans="1:10">
      <c r="A630" t="s">
        <v>1339</v>
      </c>
      <c r="B630" s="6">
        <v>44816</v>
      </c>
      <c r="C630">
        <v>2022</v>
      </c>
      <c r="D630">
        <v>9</v>
      </c>
      <c r="E630">
        <v>12</v>
      </c>
      <c r="F630" t="s">
        <v>80</v>
      </c>
      <c r="G630" t="str">
        <f>VLOOKUP(F630,'Pond name mapping'!B$3:C$91,2,FALSE)</f>
        <v>Stevens</v>
      </c>
      <c r="H630" s="8" t="s">
        <v>320</v>
      </c>
      <c r="I630" t="str">
        <f t="shared" si="9"/>
        <v>Stevens#2022-09-12</v>
      </c>
      <c r="J630" t="s">
        <v>1339</v>
      </c>
    </row>
    <row r="631" spans="1:10">
      <c r="A631" t="s">
        <v>1340</v>
      </c>
      <c r="B631" s="6">
        <v>44837</v>
      </c>
      <c r="C631">
        <v>2022</v>
      </c>
      <c r="D631">
        <v>10</v>
      </c>
      <c r="E631">
        <v>3</v>
      </c>
      <c r="F631" t="s">
        <v>80</v>
      </c>
      <c r="G631" t="str">
        <f>VLOOKUP(F631,'Pond name mapping'!B$3:C$91,2,FALSE)</f>
        <v>Stevens</v>
      </c>
      <c r="H631" s="8" t="s">
        <v>326</v>
      </c>
      <c r="I631" t="str">
        <f t="shared" si="9"/>
        <v>Stevens#2022-10-03</v>
      </c>
      <c r="J631" t="s">
        <v>1341</v>
      </c>
    </row>
    <row r="632" spans="1:10">
      <c r="A632" t="s">
        <v>1342</v>
      </c>
      <c r="B632" s="6">
        <v>44849</v>
      </c>
      <c r="C632">
        <v>2022</v>
      </c>
      <c r="D632">
        <v>10</v>
      </c>
      <c r="E632">
        <v>15</v>
      </c>
      <c r="F632" t="s">
        <v>80</v>
      </c>
      <c r="G632" t="str">
        <f>VLOOKUP(F632,'Pond name mapping'!B$3:C$91,2,FALSE)</f>
        <v>Stevens</v>
      </c>
      <c r="H632" s="8" t="s">
        <v>379</v>
      </c>
      <c r="I632" t="str">
        <f t="shared" si="9"/>
        <v>Stevens#2022-10-15</v>
      </c>
      <c r="J632" t="s">
        <v>1342</v>
      </c>
    </row>
    <row r="633" spans="1:10">
      <c r="A633" t="s">
        <v>1343</v>
      </c>
      <c r="B633" s="6">
        <v>44366</v>
      </c>
      <c r="C633">
        <v>2021</v>
      </c>
      <c r="D633">
        <v>6</v>
      </c>
      <c r="E633">
        <v>19</v>
      </c>
      <c r="F633" t="s">
        <v>82</v>
      </c>
      <c r="G633" t="str">
        <f>VLOOKUP(F633,'Pond name mapping'!B$3:C$91,2,FALSE)</f>
        <v>Stoneville</v>
      </c>
      <c r="H633" s="8" t="s">
        <v>303</v>
      </c>
      <c r="I633" t="str">
        <f t="shared" si="9"/>
        <v>Stoneville#2021-06-19</v>
      </c>
      <c r="J633" t="s">
        <v>1343</v>
      </c>
    </row>
    <row r="634" spans="1:10">
      <c r="A634" t="s">
        <v>1344</v>
      </c>
      <c r="B634" s="6">
        <v>44485</v>
      </c>
      <c r="C634">
        <v>2021</v>
      </c>
      <c r="D634">
        <v>10</v>
      </c>
      <c r="E634">
        <v>16</v>
      </c>
      <c r="F634" t="s">
        <v>82</v>
      </c>
      <c r="G634" t="str">
        <f>VLOOKUP(F634,'Pond name mapping'!B$3:C$91,2,FALSE)</f>
        <v>Stoneville</v>
      </c>
      <c r="H634" s="8" t="s">
        <v>331</v>
      </c>
      <c r="I634" t="str">
        <f t="shared" si="9"/>
        <v>Stoneville#2021-10-16</v>
      </c>
      <c r="J634" t="s">
        <v>1344</v>
      </c>
    </row>
    <row r="635" spans="1:10">
      <c r="A635" t="s">
        <v>1345</v>
      </c>
      <c r="B635" s="6">
        <v>44485</v>
      </c>
      <c r="C635">
        <v>2021</v>
      </c>
      <c r="D635">
        <v>10</v>
      </c>
      <c r="E635">
        <v>16</v>
      </c>
      <c r="F635" t="s">
        <v>82</v>
      </c>
      <c r="G635" t="str">
        <f>VLOOKUP(F635,'Pond name mapping'!B$3:C$91,2,FALSE)</f>
        <v>Stoneville</v>
      </c>
      <c r="H635" s="8" t="s">
        <v>331</v>
      </c>
      <c r="I635" t="str">
        <f t="shared" si="9"/>
        <v>Stoneville#2021-10-16</v>
      </c>
      <c r="J635" t="s">
        <v>1345</v>
      </c>
    </row>
    <row r="636" spans="1:10">
      <c r="A636" t="s">
        <v>1346</v>
      </c>
      <c r="B636" s="6">
        <v>44366</v>
      </c>
      <c r="C636">
        <v>2021</v>
      </c>
      <c r="D636">
        <v>6</v>
      </c>
      <c r="E636">
        <v>19</v>
      </c>
      <c r="F636" t="s">
        <v>264</v>
      </c>
      <c r="G636" t="str">
        <f>VLOOKUP(F636,'Pond name mapping'!B$3:C$91,2,FALSE)</f>
        <v>Crystal</v>
      </c>
      <c r="H636" s="8" t="s">
        <v>303</v>
      </c>
      <c r="I636" t="str">
        <f t="shared" si="9"/>
        <v>Crystal#2021-06-19</v>
      </c>
      <c r="J636" t="s">
        <v>1346</v>
      </c>
    </row>
    <row r="637" spans="1:10">
      <c r="A637" t="s">
        <v>1347</v>
      </c>
      <c r="B637" s="6">
        <v>44485</v>
      </c>
      <c r="C637">
        <v>2021</v>
      </c>
      <c r="D637">
        <v>10</v>
      </c>
      <c r="E637">
        <v>16</v>
      </c>
      <c r="F637" t="s">
        <v>264</v>
      </c>
      <c r="G637" t="str">
        <f>VLOOKUP(F637,'Pond name mapping'!B$3:C$91,2,FALSE)</f>
        <v>Crystal</v>
      </c>
      <c r="H637" s="8" t="s">
        <v>331</v>
      </c>
      <c r="I637" t="str">
        <f t="shared" si="9"/>
        <v>Crystal#2021-10-16</v>
      </c>
      <c r="J637" t="s">
        <v>1347</v>
      </c>
    </row>
    <row r="638" spans="1:10">
      <c r="A638" t="s">
        <v>1348</v>
      </c>
      <c r="B638" s="6">
        <v>44485</v>
      </c>
      <c r="C638">
        <v>2021</v>
      </c>
      <c r="D638">
        <v>10</v>
      </c>
      <c r="E638">
        <v>16</v>
      </c>
      <c r="F638" t="s">
        <v>264</v>
      </c>
      <c r="G638" t="str">
        <f>VLOOKUP(F638,'Pond name mapping'!B$3:C$91,2,FALSE)</f>
        <v>Crystal</v>
      </c>
      <c r="H638" s="8" t="s">
        <v>331</v>
      </c>
      <c r="I638" t="str">
        <f t="shared" si="9"/>
        <v>Crystal#2021-10-16</v>
      </c>
      <c r="J638" t="s">
        <v>1348</v>
      </c>
    </row>
    <row r="639" spans="1:10">
      <c r="A639" t="s">
        <v>1349</v>
      </c>
      <c r="B639" s="6">
        <v>45185</v>
      </c>
      <c r="C639">
        <v>2023</v>
      </c>
      <c r="D639">
        <v>9</v>
      </c>
      <c r="E639">
        <v>16</v>
      </c>
      <c r="F639" t="s">
        <v>265</v>
      </c>
      <c r="G639" t="str">
        <f>VLOOKUP(F639,'Pond name mapping'!B$3:C$91,2,FALSE)</f>
        <v>Uknown</v>
      </c>
      <c r="H639" s="8" t="s">
        <v>181</v>
      </c>
      <c r="I639" t="str">
        <f t="shared" si="9"/>
        <v>Uknown#2023-09-16</v>
      </c>
      <c r="J639" t="s">
        <v>1350</v>
      </c>
    </row>
    <row r="640" spans="1:10">
      <c r="A640" t="s">
        <v>1351</v>
      </c>
      <c r="B640" s="6">
        <v>44758</v>
      </c>
      <c r="C640">
        <v>2022</v>
      </c>
      <c r="D640">
        <v>7</v>
      </c>
      <c r="E640">
        <v>16</v>
      </c>
      <c r="F640" t="s">
        <v>267</v>
      </c>
      <c r="G640" t="str">
        <f>VLOOKUP(F640,'Pond name mapping'!B$3:C$91,2,FALSE)</f>
        <v>E.Waushacum</v>
      </c>
      <c r="H640" s="8" t="s">
        <v>315</v>
      </c>
      <c r="I640" t="str">
        <f t="shared" si="9"/>
        <v>E.Waushacum#2022-07-16</v>
      </c>
      <c r="J640" t="s">
        <v>1351</v>
      </c>
    </row>
    <row r="641" spans="1:10">
      <c r="A641" t="s">
        <v>1352</v>
      </c>
      <c r="B641" s="6">
        <v>44800</v>
      </c>
      <c r="C641">
        <v>2022</v>
      </c>
      <c r="D641">
        <v>8</v>
      </c>
      <c r="E641">
        <v>27</v>
      </c>
      <c r="F641" t="s">
        <v>267</v>
      </c>
      <c r="G641" t="str">
        <f>VLOOKUP(F641,'Pond name mapping'!B$3:C$91,2,FALSE)</f>
        <v>E.Waushacum</v>
      </c>
      <c r="H641" s="8" t="s">
        <v>376</v>
      </c>
      <c r="I641" t="str">
        <f t="shared" si="9"/>
        <v>E.Waushacum#2022-08-27</v>
      </c>
      <c r="J641" t="s">
        <v>1352</v>
      </c>
    </row>
    <row r="642" spans="1:10">
      <c r="A642" t="s">
        <v>1353</v>
      </c>
      <c r="B642" s="6">
        <v>44816</v>
      </c>
      <c r="C642">
        <v>2022</v>
      </c>
      <c r="D642">
        <v>9</v>
      </c>
      <c r="E642">
        <v>12</v>
      </c>
      <c r="F642" t="s">
        <v>267</v>
      </c>
      <c r="G642" t="str">
        <f>VLOOKUP(F642,'Pond name mapping'!B$3:C$91,2,FALSE)</f>
        <v>E.Waushacum</v>
      </c>
      <c r="H642" s="8" t="s">
        <v>320</v>
      </c>
      <c r="I642" t="str">
        <f t="shared" si="9"/>
        <v>E.Waushacum#2022-09-12</v>
      </c>
      <c r="J642" t="s">
        <v>1353</v>
      </c>
    </row>
    <row r="643" spans="1:10">
      <c r="A643" t="s">
        <v>1354</v>
      </c>
      <c r="B643" s="6">
        <v>45089</v>
      </c>
      <c r="C643">
        <v>2023</v>
      </c>
      <c r="D643">
        <v>6</v>
      </c>
      <c r="E643">
        <v>12</v>
      </c>
      <c r="F643" t="s">
        <v>211</v>
      </c>
      <c r="G643" t="str">
        <f>VLOOKUP(F643,'Pond name mapping'!B$3:C$91,2,FALSE)</f>
        <v>E.Waushacum</v>
      </c>
      <c r="H643" s="8" t="s">
        <v>189</v>
      </c>
      <c r="I643" t="str">
        <f t="shared" si="9"/>
        <v>E.Waushacum#2023-06-12</v>
      </c>
      <c r="J643" t="s">
        <v>1355</v>
      </c>
    </row>
    <row r="644" spans="1:10">
      <c r="A644" t="s">
        <v>1356</v>
      </c>
      <c r="B644" s="6">
        <v>45101</v>
      </c>
      <c r="C644">
        <v>2023</v>
      </c>
      <c r="D644">
        <v>6</v>
      </c>
      <c r="E644">
        <v>24</v>
      </c>
      <c r="F644" t="s">
        <v>211</v>
      </c>
      <c r="G644" t="str">
        <f>VLOOKUP(F644,'Pond name mapping'!B$3:C$91,2,FALSE)</f>
        <v>E.Waushacum</v>
      </c>
      <c r="H644" s="8" t="s">
        <v>283</v>
      </c>
      <c r="I644" t="str">
        <f t="shared" si="9"/>
        <v>E.Waushacum#2023-06-24</v>
      </c>
      <c r="J644" t="s">
        <v>1357</v>
      </c>
    </row>
    <row r="645" spans="1:10">
      <c r="A645" t="s">
        <v>1358</v>
      </c>
      <c r="B645" s="6">
        <v>45117</v>
      </c>
      <c r="C645">
        <v>2023</v>
      </c>
      <c r="D645">
        <v>7</v>
      </c>
      <c r="E645">
        <v>10</v>
      </c>
      <c r="F645" t="s">
        <v>211</v>
      </c>
      <c r="G645" t="str">
        <f>VLOOKUP(F645,'Pond name mapping'!B$3:C$91,2,FALSE)</f>
        <v>E.Waushacum</v>
      </c>
      <c r="H645" s="8" t="s">
        <v>182</v>
      </c>
      <c r="I645" t="str">
        <f t="shared" ref="I645:I651" si="10">CONCATENATE(G645,"#",H645)</f>
        <v>E.Waushacum#2023-07-10</v>
      </c>
      <c r="J645" t="s">
        <v>1359</v>
      </c>
    </row>
    <row r="646" spans="1:10">
      <c r="A646" t="s">
        <v>1360</v>
      </c>
      <c r="B646" s="6">
        <v>45145</v>
      </c>
      <c r="C646">
        <v>2023</v>
      </c>
      <c r="D646">
        <v>8</v>
      </c>
      <c r="E646">
        <v>7</v>
      </c>
      <c r="F646" t="s">
        <v>211</v>
      </c>
      <c r="G646" t="str">
        <f>VLOOKUP(F646,'Pond name mapping'!B$3:C$91,2,FALSE)</f>
        <v>E.Waushacum</v>
      </c>
      <c r="H646" s="8" t="s">
        <v>180</v>
      </c>
      <c r="I646" t="str">
        <f t="shared" si="10"/>
        <v>E.Waushacum#2023-08-07</v>
      </c>
      <c r="J646" t="s">
        <v>1361</v>
      </c>
    </row>
    <row r="647" spans="1:10">
      <c r="A647" t="s">
        <v>1362</v>
      </c>
      <c r="B647" s="6">
        <v>45174</v>
      </c>
      <c r="C647">
        <v>2023</v>
      </c>
      <c r="D647">
        <v>9</v>
      </c>
      <c r="E647">
        <v>5</v>
      </c>
      <c r="F647" t="s">
        <v>211</v>
      </c>
      <c r="G647" t="str">
        <f>VLOOKUP(F647,'Pond name mapping'!B$3:C$91,2,FALSE)</f>
        <v>E.Waushacum</v>
      </c>
      <c r="H647" s="8" t="s">
        <v>185</v>
      </c>
      <c r="I647" t="str">
        <f t="shared" si="10"/>
        <v>E.Waushacum#2023-09-05</v>
      </c>
      <c r="J647" t="s">
        <v>1363</v>
      </c>
    </row>
    <row r="648" spans="1:10">
      <c r="A648" t="s">
        <v>1364</v>
      </c>
      <c r="B648" s="6">
        <v>45185</v>
      </c>
      <c r="C648">
        <v>2023</v>
      </c>
      <c r="D648">
        <v>9</v>
      </c>
      <c r="E648">
        <v>16</v>
      </c>
      <c r="F648" t="s">
        <v>211</v>
      </c>
      <c r="G648" t="str">
        <f>VLOOKUP(F648,'Pond name mapping'!B$3:C$91,2,FALSE)</f>
        <v>E.Waushacum</v>
      </c>
      <c r="H648" s="8" t="s">
        <v>181</v>
      </c>
      <c r="I648" t="str">
        <f t="shared" si="10"/>
        <v>E.Waushacum#2023-09-16</v>
      </c>
      <c r="J648" t="s">
        <v>1365</v>
      </c>
    </row>
    <row r="649" spans="1:10">
      <c r="A649" t="s">
        <v>1366</v>
      </c>
      <c r="B649" s="6">
        <v>45201</v>
      </c>
      <c r="C649">
        <v>2023</v>
      </c>
      <c r="D649">
        <v>10</v>
      </c>
      <c r="E649">
        <v>2</v>
      </c>
      <c r="F649" t="s">
        <v>211</v>
      </c>
      <c r="G649" t="str">
        <f>VLOOKUP(F649,'Pond name mapping'!B$3:C$91,2,FALSE)</f>
        <v>E.Waushacum</v>
      </c>
      <c r="H649" s="8" t="s">
        <v>190</v>
      </c>
      <c r="I649" t="str">
        <f t="shared" si="10"/>
        <v>E.Waushacum#2023-10-02</v>
      </c>
      <c r="J649" t="s">
        <v>1367</v>
      </c>
    </row>
    <row r="650" spans="1:10">
      <c r="A650" t="s">
        <v>1368</v>
      </c>
      <c r="B650" s="6">
        <v>44747</v>
      </c>
      <c r="C650">
        <v>2022</v>
      </c>
      <c r="D650">
        <v>7</v>
      </c>
      <c r="E650">
        <v>5</v>
      </c>
      <c r="F650" t="s">
        <v>211</v>
      </c>
      <c r="G650" t="str">
        <f>VLOOKUP(F650,'Pond name mapping'!B$3:C$91,2,FALSE)</f>
        <v>E.Waushacum</v>
      </c>
      <c r="H650" s="8" t="s">
        <v>313</v>
      </c>
      <c r="I650" t="str">
        <f t="shared" si="10"/>
        <v>E.Waushacum#2022-07-05</v>
      </c>
      <c r="J650" t="s">
        <v>1368</v>
      </c>
    </row>
    <row r="651" spans="1:10">
      <c r="A651" t="s">
        <v>1369</v>
      </c>
      <c r="B651" s="6">
        <v>44828</v>
      </c>
      <c r="C651">
        <v>2022</v>
      </c>
      <c r="D651">
        <v>9</v>
      </c>
      <c r="E651">
        <v>24</v>
      </c>
      <c r="F651" t="s">
        <v>211</v>
      </c>
      <c r="G651" t="str">
        <f>VLOOKUP(F651,'Pond name mapping'!B$3:C$91,2,FALSE)</f>
        <v>E.Waushacum</v>
      </c>
      <c r="H651" s="8" t="s">
        <v>324</v>
      </c>
      <c r="I651" t="str">
        <f t="shared" si="10"/>
        <v>E.Waushacum#2022-09-24</v>
      </c>
      <c r="J651" t="s">
        <v>1369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EEE9-DFC9-FE4E-8D04-DB9C095B0DC8}">
  <dimension ref="C1:F35"/>
  <sheetViews>
    <sheetView tabSelected="1" workbookViewId="0">
      <selection activeCell="F22" sqref="F22"/>
    </sheetView>
  </sheetViews>
  <sheetFormatPr defaultColWidth="11" defaultRowHeight="15.95"/>
  <cols>
    <col min="3" max="3" width="47" bestFit="1" customWidth="1"/>
    <col min="4" max="4" width="19.625" bestFit="1" customWidth="1"/>
    <col min="5" max="5" width="13" bestFit="1" customWidth="1"/>
    <col min="6" max="6" width="95.375" bestFit="1" customWidth="1"/>
  </cols>
  <sheetData>
    <row r="1" spans="3:6">
      <c r="C1" s="2" t="s">
        <v>1370</v>
      </c>
    </row>
    <row r="3" spans="3:6">
      <c r="C3" t="s">
        <v>293</v>
      </c>
      <c r="D3" t="s">
        <v>13</v>
      </c>
      <c r="E3" t="s">
        <v>14</v>
      </c>
      <c r="F3" t="s">
        <v>15</v>
      </c>
    </row>
    <row r="4" spans="3:6">
      <c r="D4" t="s">
        <v>16</v>
      </c>
      <c r="E4" t="s">
        <v>17</v>
      </c>
      <c r="F4" t="s">
        <v>22</v>
      </c>
    </row>
    <row r="5" spans="3:6">
      <c r="C5" t="s">
        <v>466</v>
      </c>
      <c r="D5" t="s">
        <v>20</v>
      </c>
      <c r="E5" t="s">
        <v>21</v>
      </c>
      <c r="F5" t="s">
        <v>22</v>
      </c>
    </row>
    <row r="6" spans="3:6">
      <c r="C6" t="s">
        <v>415</v>
      </c>
      <c r="D6" t="s">
        <v>23</v>
      </c>
      <c r="E6" t="s">
        <v>24</v>
      </c>
      <c r="F6" t="s">
        <v>91</v>
      </c>
    </row>
    <row r="7" spans="3:6">
      <c r="D7" t="s">
        <v>25</v>
      </c>
      <c r="E7" t="s">
        <v>26</v>
      </c>
      <c r="F7" t="s">
        <v>58</v>
      </c>
    </row>
    <row r="8" spans="3:6">
      <c r="C8" t="s">
        <v>507</v>
      </c>
      <c r="D8" t="s">
        <v>27</v>
      </c>
      <c r="E8" t="s">
        <v>28</v>
      </c>
      <c r="F8" t="s">
        <v>15</v>
      </c>
    </row>
    <row r="9" spans="3:6">
      <c r="C9" t="s">
        <v>509</v>
      </c>
    </row>
    <row r="10" spans="3:6">
      <c r="D10" t="s">
        <v>29</v>
      </c>
      <c r="E10" t="s">
        <v>30</v>
      </c>
      <c r="F10" t="s">
        <v>22</v>
      </c>
    </row>
    <row r="11" spans="3:6">
      <c r="D11" t="s">
        <v>31</v>
      </c>
      <c r="E11" t="s">
        <v>32</v>
      </c>
      <c r="F11" t="s">
        <v>22</v>
      </c>
    </row>
    <row r="12" spans="3:6">
      <c r="C12" t="s">
        <v>1364</v>
      </c>
      <c r="D12" t="s">
        <v>33</v>
      </c>
      <c r="E12" t="s">
        <v>34</v>
      </c>
      <c r="F12" t="s">
        <v>15</v>
      </c>
    </row>
    <row r="13" spans="3:6">
      <c r="C13" t="s">
        <v>569</v>
      </c>
      <c r="D13" t="s">
        <v>35</v>
      </c>
      <c r="E13" t="s">
        <v>36</v>
      </c>
      <c r="F13" t="s">
        <v>15</v>
      </c>
    </row>
    <row r="14" spans="3:6">
      <c r="C14" t="s">
        <v>604</v>
      </c>
      <c r="D14" t="s">
        <v>37</v>
      </c>
      <c r="E14" t="s">
        <v>38</v>
      </c>
      <c r="F14" t="s">
        <v>92</v>
      </c>
    </row>
    <row r="15" spans="3:6">
      <c r="C15" t="s">
        <v>644</v>
      </c>
      <c r="D15" t="s">
        <v>39</v>
      </c>
      <c r="E15" t="s">
        <v>40</v>
      </c>
      <c r="F15" t="s">
        <v>65</v>
      </c>
    </row>
    <row r="16" spans="3:6">
      <c r="D16" t="s">
        <v>41</v>
      </c>
      <c r="E16" t="s">
        <v>42</v>
      </c>
      <c r="F16" t="s">
        <v>22</v>
      </c>
    </row>
    <row r="17" spans="3:6">
      <c r="C17" t="s">
        <v>697</v>
      </c>
      <c r="D17" t="s">
        <v>43</v>
      </c>
      <c r="E17" t="s">
        <v>44</v>
      </c>
      <c r="F17" t="s">
        <v>123</v>
      </c>
    </row>
    <row r="18" spans="3:6">
      <c r="C18" t="s">
        <v>699</v>
      </c>
    </row>
    <row r="19" spans="3:6">
      <c r="C19" t="s">
        <v>750</v>
      </c>
      <c r="D19" t="s">
        <v>45</v>
      </c>
      <c r="E19" t="s">
        <v>46</v>
      </c>
      <c r="F19" t="s">
        <v>136</v>
      </c>
    </row>
    <row r="20" spans="3:6">
      <c r="C20" s="9" t="s">
        <v>1349</v>
      </c>
      <c r="D20" t="s">
        <v>48</v>
      </c>
      <c r="E20" t="s">
        <v>49</v>
      </c>
      <c r="F20" t="s">
        <v>137</v>
      </c>
    </row>
    <row r="21" spans="3:6">
      <c r="C21" t="s">
        <v>825</v>
      </c>
      <c r="D21" t="s">
        <v>50</v>
      </c>
      <c r="E21" t="s">
        <v>51</v>
      </c>
      <c r="F21" t="s">
        <v>22</v>
      </c>
    </row>
    <row r="22" spans="3:6">
      <c r="C22" t="s">
        <v>875</v>
      </c>
      <c r="D22" t="s">
        <v>53</v>
      </c>
      <c r="E22" t="s">
        <v>54</v>
      </c>
      <c r="F22" t="s">
        <v>138</v>
      </c>
    </row>
    <row r="23" spans="3:6">
      <c r="C23" t="s">
        <v>919</v>
      </c>
      <c r="D23" t="s">
        <v>56</v>
      </c>
      <c r="E23" t="s">
        <v>57</v>
      </c>
      <c r="F23" t="s">
        <v>139</v>
      </c>
    </row>
    <row r="24" spans="3:6">
      <c r="C24" t="s">
        <v>935</v>
      </c>
      <c r="D24" t="s">
        <v>59</v>
      </c>
      <c r="E24" t="s">
        <v>60</v>
      </c>
      <c r="F24" t="s">
        <v>140</v>
      </c>
    </row>
    <row r="25" spans="3:6">
      <c r="C25" t="s">
        <v>968</v>
      </c>
      <c r="D25" t="s">
        <v>61</v>
      </c>
      <c r="E25" t="s">
        <v>62</v>
      </c>
      <c r="F25" t="s">
        <v>15</v>
      </c>
    </row>
    <row r="26" spans="3:6">
      <c r="C26" t="s">
        <v>1008</v>
      </c>
      <c r="D26" t="s">
        <v>63</v>
      </c>
      <c r="E26" t="s">
        <v>64</v>
      </c>
      <c r="F26" t="s">
        <v>141</v>
      </c>
    </row>
    <row r="27" spans="3:6">
      <c r="C27" t="s">
        <v>1047</v>
      </c>
      <c r="D27" t="s">
        <v>66</v>
      </c>
      <c r="E27" t="s">
        <v>67</v>
      </c>
      <c r="F27" t="s">
        <v>142</v>
      </c>
    </row>
    <row r="28" spans="3:6">
      <c r="C28" t="s">
        <v>1095</v>
      </c>
      <c r="D28" t="s">
        <v>68</v>
      </c>
      <c r="E28" t="s">
        <v>69</v>
      </c>
      <c r="F28" t="s">
        <v>15</v>
      </c>
    </row>
    <row r="29" spans="3:6">
      <c r="C29" t="s">
        <v>1146</v>
      </c>
      <c r="D29" t="s">
        <v>70</v>
      </c>
      <c r="E29" t="s">
        <v>71</v>
      </c>
      <c r="F29" t="s">
        <v>65</v>
      </c>
    </row>
    <row r="30" spans="3:6">
      <c r="C30" t="s">
        <v>1180</v>
      </c>
      <c r="D30" t="s">
        <v>72</v>
      </c>
      <c r="E30" t="s">
        <v>73</v>
      </c>
      <c r="F30" t="s">
        <v>143</v>
      </c>
    </row>
    <row r="31" spans="3:6">
      <c r="C31" t="s">
        <v>1257</v>
      </c>
      <c r="D31" t="s">
        <v>74</v>
      </c>
      <c r="E31" t="s">
        <v>75</v>
      </c>
      <c r="F31" t="s">
        <v>58</v>
      </c>
    </row>
    <row r="32" spans="3:6">
      <c r="C32" t="s">
        <v>1259</v>
      </c>
    </row>
    <row r="33" spans="3:6">
      <c r="D33" t="s">
        <v>77</v>
      </c>
      <c r="E33" t="s">
        <v>78</v>
      </c>
      <c r="F33" t="s">
        <v>22</v>
      </c>
    </row>
    <row r="34" spans="3:6">
      <c r="C34" t="s">
        <v>1318</v>
      </c>
      <c r="D34" t="s">
        <v>79</v>
      </c>
      <c r="E34" t="s">
        <v>80</v>
      </c>
      <c r="F34" t="s">
        <v>144</v>
      </c>
    </row>
    <row r="35" spans="3:6">
      <c r="C35" t="s">
        <v>893</v>
      </c>
      <c r="D35" t="s">
        <v>114</v>
      </c>
      <c r="E35" t="s">
        <v>130</v>
      </c>
      <c r="F3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Ahlgren</dc:creator>
  <cp:keywords/>
  <dc:description/>
  <cp:lastModifiedBy/>
  <cp:revision/>
  <dcterms:created xsi:type="dcterms:W3CDTF">2025-11-07T19:16:24Z</dcterms:created>
  <dcterms:modified xsi:type="dcterms:W3CDTF">2026-09-16T21:30:34Z</dcterms:modified>
  <cp:category/>
  <cp:contentStatus/>
</cp:coreProperties>
</file>